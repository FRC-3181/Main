
<file path=[Content_Types].xml><?xml version="1.0" encoding="utf-8"?>
<Types xmlns="http://schemas.openxmlformats.org/package/2006/content-types">
  <Override PartName="/xl/worksheets/sheet15.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7.xml" ContentType="application/vnd.ms-excel.controlpropertie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0" yWindow="9510" windowWidth="18420" windowHeight="9750" activeTab="14"/>
  </bookViews>
  <sheets>
    <sheet name="Input" sheetId="27" r:id="rId1"/>
    <sheet name="Red 1" sheetId="3" state="hidden" r:id="rId2"/>
    <sheet name="Red 2" sheetId="4" state="hidden" r:id="rId3"/>
    <sheet name="Red 3" sheetId="5" state="hidden" r:id="rId4"/>
    <sheet name="Blue 1" sheetId="6" state="hidden" r:id="rId5"/>
    <sheet name="Blue 2" sheetId="7" state="hidden" r:id="rId6"/>
    <sheet name="Blue 3" sheetId="8" state="hidden" r:id="rId7"/>
    <sheet name="Stats" sheetId="10" r:id="rId8"/>
    <sheet name="Team Lookup" sheetId="9" r:id="rId9"/>
    <sheet name="Setup" sheetId="24" r:id="rId10"/>
    <sheet name="Schedule" sheetId="2" r:id="rId11"/>
    <sheet name="Match Strategy" sheetId="12" state="hidden" r:id="rId12"/>
    <sheet name="Strategy" sheetId="13" state="hidden" r:id="rId13"/>
    <sheet name="Scouting Sheet" sheetId="28" r:id="rId14"/>
    <sheet name="Instructions" sheetId="29" r:id="rId15"/>
  </sheets>
  <definedNames>
    <definedName name="_xlnm._FilterDatabase" localSheetId="7" hidden="1">Stats!$A$1:$L$4</definedName>
  </definedNames>
  <calcPr calcId="125725"/>
</workbook>
</file>

<file path=xl/calcChain.xml><?xml version="1.0" encoding="utf-8"?>
<calcChain xmlns="http://schemas.openxmlformats.org/spreadsheetml/2006/main">
  <c r="N3" i="9"/>
  <c r="N13" i="24" l="1"/>
  <c r="O13"/>
  <c r="P13"/>
  <c r="Q13"/>
  <c r="R13"/>
  <c r="S13"/>
  <c r="T13"/>
  <c r="O12" l="1"/>
  <c r="P12"/>
  <c r="Q12"/>
  <c r="R12"/>
  <c r="S12"/>
  <c r="T12"/>
  <c r="I3" i="9"/>
  <c r="J3"/>
  <c r="L3"/>
  <c r="M3"/>
  <c r="O3"/>
  <c r="P3"/>
  <c r="Q3"/>
  <c r="R3"/>
  <c r="S3"/>
  <c r="T3"/>
  <c r="C3"/>
  <c r="D3"/>
  <c r="E3"/>
  <c r="F3"/>
  <c r="G3"/>
  <c r="H3"/>
  <c r="K3"/>
  <c r="F13" i="24"/>
  <c r="G13"/>
  <c r="H13"/>
  <c r="I13"/>
  <c r="J13"/>
  <c r="K13"/>
  <c r="L13"/>
  <c r="M13"/>
  <c r="A13" l="1"/>
  <c r="B3" i="9"/>
  <c r="C13" i="24" l="1"/>
  <c r="D13"/>
  <c r="E13"/>
  <c r="B13"/>
  <c r="B12" l="1"/>
  <c r="C12" l="1"/>
  <c r="D12" s="1"/>
  <c r="E12" s="1"/>
  <c r="F12" s="1"/>
  <c r="G12" s="1"/>
  <c r="H12" s="1"/>
  <c r="I12" s="1"/>
  <c r="J12" s="1"/>
  <c r="K12" s="1"/>
  <c r="L12" s="1"/>
  <c r="M12" s="1"/>
  <c r="N12" s="1"/>
  <c r="B2" l="1"/>
</calcChain>
</file>

<file path=xl/sharedStrings.xml><?xml version="1.0" encoding="utf-8"?>
<sst xmlns="http://schemas.openxmlformats.org/spreadsheetml/2006/main" count="248" uniqueCount="115">
  <si>
    <t>Match</t>
  </si>
  <si>
    <t>Team</t>
  </si>
  <si>
    <t>Red 1</t>
  </si>
  <si>
    <t>Red 2</t>
  </si>
  <si>
    <t>Red 3</t>
  </si>
  <si>
    <t>Blue 1</t>
  </si>
  <si>
    <t>Blue 2</t>
  </si>
  <si>
    <t>Blue 3</t>
  </si>
  <si>
    <t>Matches Played</t>
  </si>
  <si>
    <t>Match:</t>
  </si>
  <si>
    <t>Average</t>
  </si>
  <si>
    <t>Rank</t>
  </si>
  <si>
    <t>Matches:</t>
  </si>
  <si>
    <t>Comments</t>
  </si>
  <si>
    <t>Look Up</t>
  </si>
  <si>
    <t>Red Alliance</t>
  </si>
  <si>
    <t>Red 1:</t>
  </si>
  <si>
    <t>Successes</t>
  </si>
  <si>
    <t>Rank:</t>
  </si>
  <si>
    <t>Blue Alliance</t>
  </si>
  <si>
    <t>Blue 1:</t>
  </si>
  <si>
    <t>Blue 2:</t>
  </si>
  <si>
    <t>Blue 3:</t>
  </si>
  <si>
    <t>Red 2:</t>
  </si>
  <si>
    <t>Red 3:</t>
  </si>
  <si>
    <t>Matches</t>
  </si>
  <si>
    <t>Match Number:</t>
  </si>
  <si>
    <t>Balance</t>
  </si>
  <si>
    <t>Hybrid</t>
  </si>
  <si>
    <t>Score</t>
  </si>
  <si>
    <t># Balanced</t>
  </si>
  <si>
    <t>Scores</t>
  </si>
  <si>
    <t>Bridge Attempts</t>
  </si>
  <si>
    <t>Balanced</t>
  </si>
  <si>
    <t>B Attempts</t>
  </si>
  <si>
    <t>Bal/Match</t>
  </si>
  <si>
    <t>NumOfStats</t>
  </si>
  <si>
    <t>Information</t>
  </si>
  <si>
    <t>Data</t>
  </si>
  <si>
    <t>Setup</t>
  </si>
  <si>
    <t>Does not include the team number, but includes comments</t>
  </si>
  <si>
    <t>Teams</t>
  </si>
  <si>
    <t>Number of Teams</t>
  </si>
  <si>
    <t>Schedule</t>
  </si>
  <si>
    <t>Number of Matches</t>
  </si>
  <si>
    <t>0 for no schedule, 1 for has schedule</t>
  </si>
  <si>
    <t>Location</t>
  </si>
  <si>
    <t>Data Manipulation for Stats: (c for comment, and only 1 c)</t>
  </si>
  <si>
    <t>Location2</t>
  </si>
  <si>
    <t>Stats</t>
  </si>
  <si>
    <t>Weighted</t>
  </si>
  <si>
    <t>Totals</t>
  </si>
  <si>
    <t>Stats Location</t>
  </si>
  <si>
    <t>Special Stats:</t>
  </si>
  <si>
    <t>Special Type:</t>
  </si>
  <si>
    <t>1: Percent Matches</t>
  </si>
  <si>
    <t>Totals2</t>
  </si>
  <si>
    <t>bottom</t>
  </si>
  <si>
    <t>Average T-Fouls Points</t>
  </si>
  <si>
    <t>Average Total Points</t>
  </si>
  <si>
    <t>Average Pre-Penalty Total Points</t>
  </si>
  <si>
    <t>Truss Passes</t>
  </si>
  <si>
    <t>Shots Missed</t>
  </si>
  <si>
    <t>Auto Points</t>
  </si>
  <si>
    <t>Posessions</t>
  </si>
  <si>
    <t>Truss Catches</t>
  </si>
  <si>
    <t>10 Pt Made</t>
  </si>
  <si>
    <t>10 Pt Missed</t>
  </si>
  <si>
    <t>1 Pt Made</t>
  </si>
  <si>
    <t>2: Made/Missed</t>
  </si>
  <si>
    <t>3: Aeriel Assist Auto Calc</t>
  </si>
  <si>
    <t>H1</t>
  </si>
  <si>
    <t>H2</t>
  </si>
  <si>
    <t>Input Location 1</t>
  </si>
  <si>
    <t>Input Location 2</t>
  </si>
  <si>
    <t>Lost Balls</t>
  </si>
  <si>
    <t>HP Loads</t>
  </si>
  <si>
    <t>% Sucessful Posessions</t>
  </si>
  <si>
    <t>H3</t>
  </si>
  <si>
    <t>4: 1-x/y</t>
  </si>
  <si>
    <t>HP Load</t>
  </si>
  <si>
    <t>Possessions per Match</t>
  </si>
  <si>
    <t>HP Loads per Match</t>
  </si>
  <si>
    <t>% Time Ball Scored</t>
  </si>
  <si>
    <t>Truss Catch per Match</t>
  </si>
  <si>
    <t>Posessions Lost</t>
  </si>
  <si>
    <t>Possessions</t>
  </si>
  <si>
    <t>Auto Points per Match</t>
  </si>
  <si>
    <t>Truss Pass per Match</t>
  </si>
  <si>
    <t>10 Point per Match</t>
  </si>
  <si>
    <t>10 Point Shooting %</t>
  </si>
  <si>
    <t>1 Point per Match</t>
  </si>
  <si>
    <t>Team Number</t>
  </si>
  <si>
    <t>Balls Attempted</t>
  </si>
  <si>
    <t>1 pt make</t>
  </si>
  <si>
    <t>10 Pt make</t>
  </si>
  <si>
    <t>Balls Not Scored</t>
  </si>
  <si>
    <t>Hot Goal</t>
  </si>
  <si>
    <t>Mobility?</t>
  </si>
  <si>
    <t>Total Auto Points</t>
  </si>
  <si>
    <t>Key:</t>
  </si>
  <si>
    <t>Human Player Load</t>
  </si>
  <si>
    <t>Possession</t>
  </si>
  <si>
    <t>Possesions</t>
  </si>
  <si>
    <t>Possession Lost</t>
  </si>
  <si>
    <t>Possesions Lost</t>
  </si>
  <si>
    <t>Truss Pass</t>
  </si>
  <si>
    <t>Truss Catch</t>
  </si>
  <si>
    <t>10 Point made</t>
  </si>
  <si>
    <t>10 point Missed</t>
  </si>
  <si>
    <t>10 Point missed</t>
  </si>
  <si>
    <t>1 Point Made</t>
  </si>
  <si>
    <t>1 point made</t>
  </si>
  <si>
    <t>New Cycle</t>
  </si>
  <si>
    <t>If you put in the schedule, be sure to change the number in Setup from 0 to 1.</t>
  </si>
</sst>
</file>

<file path=xl/styles.xml><?xml version="1.0" encoding="utf-8"?>
<styleSheet xmlns="http://schemas.openxmlformats.org/spreadsheetml/2006/main">
  <numFmts count="3">
    <numFmt numFmtId="164" formatCode="0.0"/>
    <numFmt numFmtId="165" formatCode="h:mm:ss;@"/>
    <numFmt numFmtId="166" formatCode="0.0%"/>
  </numFmts>
  <fonts count="21">
    <font>
      <sz val="11"/>
      <color theme="1"/>
      <name val="Calibri"/>
      <family val="2"/>
      <scheme val="minor"/>
    </font>
    <font>
      <b/>
      <sz val="11"/>
      <color theme="1"/>
      <name val="Calibri"/>
      <family val="2"/>
      <scheme val="minor"/>
    </font>
    <font>
      <sz val="11"/>
      <color rgb="FF000000"/>
      <name val="Calibri"/>
      <family val="2"/>
    </font>
    <font>
      <sz val="11"/>
      <color rgb="FFFF0000"/>
      <name val="Calibri"/>
      <family val="2"/>
      <scheme val="minor"/>
    </font>
    <font>
      <b/>
      <sz val="11"/>
      <color rgb="FFFF0000"/>
      <name val="Calibri"/>
      <family val="2"/>
      <scheme val="minor"/>
    </font>
    <font>
      <b/>
      <sz val="11"/>
      <color rgb="FF0070C0"/>
      <name val="Calibri"/>
      <family val="2"/>
      <scheme val="minor"/>
    </font>
    <font>
      <sz val="11"/>
      <color rgb="FF0070C0"/>
      <name val="Calibri"/>
      <family val="2"/>
      <scheme val="minor"/>
    </font>
    <font>
      <sz val="9"/>
      <color theme="1"/>
      <name val="Arial"/>
      <family val="2"/>
    </font>
    <font>
      <sz val="11"/>
      <color theme="0"/>
      <name val="Calibri"/>
      <family val="2"/>
      <scheme val="minor"/>
    </font>
    <font>
      <b/>
      <sz val="11"/>
      <color theme="0"/>
      <name val="Calibri"/>
      <family val="2"/>
      <scheme val="minor"/>
    </font>
    <font>
      <b/>
      <sz val="11"/>
      <name val="Calibri"/>
      <family val="2"/>
      <scheme val="minor"/>
    </font>
    <font>
      <sz val="11"/>
      <name val="Calibri"/>
      <family val="2"/>
      <scheme val="minor"/>
    </font>
    <font>
      <sz val="10"/>
      <name val="Arial"/>
      <family val="2"/>
    </font>
    <font>
      <sz val="10"/>
      <color indexed="8"/>
      <name val="Arial"/>
      <family val="2"/>
    </font>
    <font>
      <sz val="28"/>
      <color rgb="FF0070C0"/>
      <name val="Calibri"/>
      <family val="2"/>
      <scheme val="minor"/>
    </font>
    <font>
      <sz val="28"/>
      <color rgb="FFFF0000"/>
      <name val="Calibri"/>
      <family val="2"/>
      <scheme val="minor"/>
    </font>
    <font>
      <sz val="9"/>
      <color rgb="FFFF0000"/>
      <name val="Arial"/>
      <family val="2"/>
    </font>
    <font>
      <sz val="9"/>
      <color rgb="FF0070C0"/>
      <name val="Arial"/>
      <family val="2"/>
    </font>
    <font>
      <b/>
      <sz val="9"/>
      <color theme="1"/>
      <name val="Arial"/>
      <family val="2"/>
    </font>
    <font>
      <sz val="11"/>
      <color theme="1"/>
      <name val="Calibri"/>
      <family val="2"/>
      <scheme val="minor"/>
    </font>
    <font>
      <sz val="11"/>
      <color rgb="FF00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rgb="FFFFBDBD"/>
        <bgColor indexed="64"/>
      </patternFill>
    </fill>
    <fill>
      <patternFill patternType="solid">
        <fgColor theme="0" tint="-4.9989318521683403E-2"/>
        <bgColor indexed="64"/>
      </patternFill>
    </fill>
    <fill>
      <patternFill patternType="solid">
        <fgColor rgb="FFCDEAFF"/>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2" tint="-0.249977111117893"/>
        <bgColor indexed="64"/>
      </patternFill>
    </fill>
  </fills>
  <borders count="78">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diagonal/>
    </border>
    <border>
      <left style="medium">
        <color indexed="64"/>
      </left>
      <right/>
      <top style="medium">
        <color indexed="64"/>
      </top>
      <bottom style="thin">
        <color indexed="64"/>
      </bottom>
      <diagonal/>
    </border>
    <border>
      <left style="medium">
        <color indexed="64"/>
      </left>
      <right/>
      <top/>
      <bottom style="hair">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medium">
        <color indexed="64"/>
      </left>
      <right style="thin">
        <color theme="1"/>
      </right>
      <top style="medium">
        <color indexed="64"/>
      </top>
      <bottom/>
      <diagonal/>
    </border>
    <border>
      <left style="thin">
        <color theme="1"/>
      </left>
      <right style="medium">
        <color indexed="64"/>
      </right>
      <top style="medium">
        <color indexed="64"/>
      </top>
      <bottom/>
      <diagonal/>
    </border>
    <border>
      <left style="medium">
        <color indexed="64"/>
      </left>
      <right style="thin">
        <color theme="1"/>
      </right>
      <top/>
      <bottom/>
      <diagonal/>
    </border>
    <border>
      <left style="thin">
        <color theme="1"/>
      </left>
      <right style="medium">
        <color indexed="64"/>
      </right>
      <top/>
      <bottom/>
      <diagonal/>
    </border>
  </borders>
  <cellStyleXfs count="4">
    <xf numFmtId="0" fontId="0" fillId="0" borderId="0"/>
    <xf numFmtId="0" fontId="12" fillId="0" borderId="0"/>
    <xf numFmtId="0" fontId="12" fillId="0" borderId="0">
      <alignment wrapText="1"/>
    </xf>
    <xf numFmtId="9" fontId="19" fillId="0" borderId="0" applyFont="0" applyFill="0" applyBorder="0" applyAlignment="0" applyProtection="0"/>
  </cellStyleXfs>
  <cellXfs count="368">
    <xf numFmtId="0" fontId="0" fillId="0" borderId="0" xfId="0"/>
    <xf numFmtId="0" fontId="1" fillId="0" borderId="0" xfId="0" applyFont="1"/>
    <xf numFmtId="0" fontId="0" fillId="0" borderId="0" xfId="0" applyBorder="1"/>
    <xf numFmtId="0" fontId="1" fillId="0" borderId="4" xfId="0" applyFont="1" applyBorder="1"/>
    <xf numFmtId="0" fontId="1" fillId="0" borderId="3" xfId="0" applyFont="1" applyFill="1" applyBorder="1"/>
    <xf numFmtId="0" fontId="1" fillId="0" borderId="2" xfId="0" applyFont="1" applyFill="1" applyBorder="1"/>
    <xf numFmtId="0" fontId="0" fillId="0" borderId="0" xfId="0" applyFill="1"/>
    <xf numFmtId="0" fontId="0" fillId="0" borderId="0" xfId="0"/>
    <xf numFmtId="0" fontId="0" fillId="0" borderId="2" xfId="0" applyBorder="1"/>
    <xf numFmtId="18" fontId="7" fillId="0" borderId="0" xfId="0" applyNumberFormat="1" applyFont="1" applyFill="1" applyAlignment="1">
      <alignment vertical="center" wrapText="1"/>
    </xf>
    <xf numFmtId="0" fontId="1" fillId="0" borderId="1" xfId="0" applyFont="1" applyFill="1" applyBorder="1"/>
    <xf numFmtId="0" fontId="0" fillId="2" borderId="0" xfId="0" applyFill="1"/>
    <xf numFmtId="0" fontId="0" fillId="0" borderId="4" xfId="0" applyBorder="1"/>
    <xf numFmtId="0" fontId="0" fillId="2" borderId="4" xfId="0" applyFill="1" applyBorder="1"/>
    <xf numFmtId="0" fontId="3" fillId="0" borderId="4" xfId="0" applyFont="1" applyBorder="1"/>
    <xf numFmtId="0" fontId="0" fillId="2" borderId="10" xfId="0" applyFill="1" applyBorder="1"/>
    <xf numFmtId="0" fontId="0" fillId="0" borderId="12" xfId="0" applyBorder="1"/>
    <xf numFmtId="0" fontId="0" fillId="0" borderId="9" xfId="0" applyBorder="1"/>
    <xf numFmtId="0" fontId="0" fillId="0" borderId="8" xfId="0" applyBorder="1"/>
    <xf numFmtId="0" fontId="0" fillId="0" borderId="3" xfId="0" applyBorder="1"/>
    <xf numFmtId="0" fontId="0" fillId="0" borderId="10" xfId="0" applyBorder="1"/>
    <xf numFmtId="0" fontId="0" fillId="0" borderId="11" xfId="0" applyBorder="1"/>
    <xf numFmtId="0" fontId="0" fillId="0" borderId="15" xfId="0" applyBorder="1"/>
    <xf numFmtId="0" fontId="0" fillId="0" borderId="9" xfId="0" applyBorder="1" applyAlignment="1">
      <alignment wrapText="1"/>
    </xf>
    <xf numFmtId="0" fontId="0" fillId="0" borderId="4" xfId="0" applyBorder="1" applyAlignment="1">
      <alignment wrapText="1"/>
    </xf>
    <xf numFmtId="0" fontId="0" fillId="0" borderId="3" xfId="0" applyBorder="1" applyAlignment="1">
      <alignment wrapText="1"/>
    </xf>
    <xf numFmtId="0" fontId="0" fillId="0" borderId="0" xfId="0" applyAlignment="1">
      <alignment wrapText="1"/>
    </xf>
    <xf numFmtId="0" fontId="0" fillId="0" borderId="4" xfId="0" applyFill="1" applyBorder="1" applyAlignment="1">
      <alignment wrapText="1"/>
    </xf>
    <xf numFmtId="0" fontId="6" fillId="0" borderId="4" xfId="0" applyFont="1" applyBorder="1"/>
    <xf numFmtId="0" fontId="0" fillId="4" borderId="0" xfId="0" applyFill="1"/>
    <xf numFmtId="0" fontId="0" fillId="4" borderId="0" xfId="0" applyFill="1" applyAlignment="1">
      <alignment wrapText="1"/>
    </xf>
    <xf numFmtId="0" fontId="0" fillId="4" borderId="0" xfId="0" applyFill="1" applyBorder="1"/>
    <xf numFmtId="0" fontId="0" fillId="4" borderId="11" xfId="0" applyFill="1" applyBorder="1"/>
    <xf numFmtId="0" fontId="0" fillId="4" borderId="14" xfId="0" applyFill="1" applyBorder="1"/>
    <xf numFmtId="0" fontId="0" fillId="4" borderId="0" xfId="0" applyFill="1" applyBorder="1" applyAlignment="1">
      <alignment wrapText="1"/>
    </xf>
    <xf numFmtId="0" fontId="0" fillId="4" borderId="1" xfId="0" applyFill="1" applyBorder="1" applyAlignment="1">
      <alignment wrapText="1"/>
    </xf>
    <xf numFmtId="0" fontId="0" fillId="4" borderId="1" xfId="0" applyFill="1" applyBorder="1"/>
    <xf numFmtId="0" fontId="0" fillId="4" borderId="2" xfId="0" applyFill="1" applyBorder="1"/>
    <xf numFmtId="0" fontId="4" fillId="0" borderId="2" xfId="0" applyFont="1" applyFill="1" applyBorder="1"/>
    <xf numFmtId="0" fontId="16" fillId="0" borderId="0" xfId="0" applyFont="1" applyFill="1" applyAlignment="1">
      <alignment horizontal="center" vertical="center" wrapText="1"/>
    </xf>
    <xf numFmtId="0" fontId="3" fillId="0" borderId="0" xfId="0" applyFont="1" applyFill="1"/>
    <xf numFmtId="0" fontId="3" fillId="0" borderId="0" xfId="0" applyFont="1" applyFill="1" applyBorder="1"/>
    <xf numFmtId="0" fontId="5" fillId="0" borderId="12" xfId="0" applyFont="1" applyFill="1" applyBorder="1"/>
    <xf numFmtId="0" fontId="5" fillId="0" borderId="13" xfId="0" applyFont="1" applyFill="1" applyBorder="1"/>
    <xf numFmtId="0" fontId="5" fillId="0" borderId="9" xfId="0" applyFont="1" applyFill="1" applyBorder="1"/>
    <xf numFmtId="0" fontId="17" fillId="0" borderId="0" xfId="0" applyFont="1" applyFill="1" applyAlignment="1">
      <alignment horizontal="center" vertical="center" wrapText="1"/>
    </xf>
    <xf numFmtId="0" fontId="6" fillId="0" borderId="14" xfId="0" applyFont="1" applyFill="1" applyBorder="1"/>
    <xf numFmtId="0" fontId="6" fillId="0" borderId="0" xfId="0" applyFont="1" applyFill="1" applyBorder="1"/>
    <xf numFmtId="0" fontId="6" fillId="0" borderId="1" xfId="0" applyFont="1" applyFill="1" applyBorder="1"/>
    <xf numFmtId="0" fontId="18" fillId="0" borderId="0" xfId="0" applyFont="1" applyFill="1" applyAlignment="1">
      <alignment horizontal="center" vertical="center" wrapText="1"/>
    </xf>
    <xf numFmtId="0" fontId="0" fillId="0" borderId="7" xfId="0" applyBorder="1"/>
    <xf numFmtId="0" fontId="0" fillId="0" borderId="1" xfId="0" applyBorder="1"/>
    <xf numFmtId="0" fontId="8" fillId="0" borderId="0" xfId="0" applyFont="1" applyBorder="1"/>
    <xf numFmtId="0" fontId="8" fillId="0" borderId="6" xfId="0" applyFont="1" applyBorder="1"/>
    <xf numFmtId="0" fontId="8" fillId="0" borderId="5" xfId="0" applyFont="1" applyBorder="1"/>
    <xf numFmtId="0" fontId="8" fillId="0" borderId="14" xfId="0" applyFont="1" applyBorder="1"/>
    <xf numFmtId="0" fontId="8" fillId="0" borderId="8" xfId="0" applyFont="1" applyBorder="1"/>
    <xf numFmtId="0" fontId="8" fillId="0" borderId="2" xfId="0" applyFont="1" applyBorder="1"/>
    <xf numFmtId="0" fontId="0" fillId="6" borderId="0" xfId="0" applyFill="1"/>
    <xf numFmtId="0" fontId="1" fillId="6" borderId="19" xfId="0" applyFont="1" applyFill="1" applyBorder="1"/>
    <xf numFmtId="0" fontId="1" fillId="6" borderId="0" xfId="0" applyFont="1" applyFill="1"/>
    <xf numFmtId="0" fontId="3" fillId="3" borderId="9" xfId="0" applyFont="1" applyFill="1" applyBorder="1" applyProtection="1">
      <protection locked="0"/>
    </xf>
    <xf numFmtId="0" fontId="3" fillId="3" borderId="26" xfId="0" applyFont="1" applyFill="1" applyBorder="1" applyProtection="1">
      <protection locked="0"/>
    </xf>
    <xf numFmtId="0" fontId="0" fillId="2" borderId="4" xfId="0" applyFill="1" applyBorder="1" applyAlignment="1" applyProtection="1">
      <alignment horizontal="left"/>
      <protection locked="0"/>
    </xf>
    <xf numFmtId="0" fontId="1" fillId="6" borderId="30" xfId="0" applyFont="1" applyFill="1" applyBorder="1"/>
    <xf numFmtId="0" fontId="1" fillId="6" borderId="32" xfId="0" applyFont="1" applyFill="1" applyBorder="1"/>
    <xf numFmtId="0" fontId="1" fillId="6" borderId="28" xfId="0" applyFont="1" applyFill="1" applyBorder="1"/>
    <xf numFmtId="0" fontId="1" fillId="6" borderId="42" xfId="0" applyFont="1" applyFill="1" applyBorder="1"/>
    <xf numFmtId="0" fontId="1" fillId="6" borderId="41" xfId="0" applyFont="1" applyFill="1" applyBorder="1"/>
    <xf numFmtId="0" fontId="1" fillId="6" borderId="43" xfId="0" applyFont="1" applyFill="1" applyBorder="1"/>
    <xf numFmtId="0" fontId="1" fillId="6" borderId="27" xfId="0" applyFont="1" applyFill="1" applyBorder="1"/>
    <xf numFmtId="0" fontId="1" fillId="6" borderId="4" xfId="0" applyFont="1" applyFill="1" applyBorder="1"/>
    <xf numFmtId="0" fontId="0" fillId="6" borderId="4" xfId="0" applyFill="1" applyBorder="1"/>
    <xf numFmtId="0" fontId="1" fillId="6" borderId="13" xfId="0" applyFont="1" applyFill="1" applyBorder="1"/>
    <xf numFmtId="0" fontId="0" fillId="6" borderId="13" xfId="0" applyFill="1" applyBorder="1"/>
    <xf numFmtId="0" fontId="1" fillId="6" borderId="44" xfId="0" applyFont="1" applyFill="1" applyBorder="1"/>
    <xf numFmtId="0" fontId="1" fillId="6" borderId="45" xfId="0" applyFont="1" applyFill="1" applyBorder="1"/>
    <xf numFmtId="0" fontId="0" fillId="0" borderId="10" xfId="0" applyBorder="1" applyProtection="1">
      <protection locked="0"/>
    </xf>
    <xf numFmtId="0" fontId="1" fillId="0" borderId="0" xfId="0" applyFont="1" applyFill="1" applyBorder="1"/>
    <xf numFmtId="0" fontId="0" fillId="0" borderId="0" xfId="0" applyFill="1" applyBorder="1"/>
    <xf numFmtId="0" fontId="9" fillId="0" borderId="0" xfId="0" applyFont="1" applyBorder="1" applyProtection="1"/>
    <xf numFmtId="0" fontId="8" fillId="0" borderId="0" xfId="0" applyFont="1" applyBorder="1" applyProtection="1"/>
    <xf numFmtId="0" fontId="0" fillId="0" borderId="0" xfId="0" applyBorder="1" applyProtection="1"/>
    <xf numFmtId="0" fontId="3" fillId="3" borderId="20" xfId="0" applyFont="1" applyFill="1" applyBorder="1" applyProtection="1">
      <protection locked="0"/>
    </xf>
    <xf numFmtId="0" fontId="3" fillId="3" borderId="21" xfId="0" applyFont="1" applyFill="1" applyBorder="1" applyProtection="1">
      <protection locked="0"/>
    </xf>
    <xf numFmtId="0" fontId="6" fillId="5" borderId="35" xfId="0" applyFont="1" applyFill="1" applyBorder="1" applyProtection="1">
      <protection locked="0"/>
    </xf>
    <xf numFmtId="0" fontId="6" fillId="5" borderId="20" xfId="0" applyFont="1" applyFill="1" applyBorder="1" applyProtection="1">
      <protection locked="0"/>
    </xf>
    <xf numFmtId="0" fontId="6" fillId="5" borderId="21" xfId="0" applyFont="1" applyFill="1" applyBorder="1" applyProtection="1">
      <protection locked="0"/>
    </xf>
    <xf numFmtId="0" fontId="10" fillId="6" borderId="18" xfId="0" applyFont="1" applyFill="1" applyBorder="1"/>
    <xf numFmtId="0" fontId="1" fillId="0" borderId="4" xfId="0" applyFont="1" applyBorder="1" applyAlignment="1" applyProtection="1">
      <alignment horizontal="left"/>
    </xf>
    <xf numFmtId="0" fontId="1" fillId="0" borderId="0" xfId="0" applyFont="1" applyAlignment="1" applyProtection="1">
      <alignment horizontal="left"/>
    </xf>
    <xf numFmtId="0" fontId="1" fillId="0" borderId="5" xfId="0" applyFont="1" applyBorder="1" applyProtection="1"/>
    <xf numFmtId="0" fontId="0" fillId="0" borderId="0" xfId="0" applyProtection="1"/>
    <xf numFmtId="0" fontId="9" fillId="6" borderId="19" xfId="0" applyFont="1" applyFill="1" applyBorder="1" applyProtection="1"/>
    <xf numFmtId="0" fontId="1" fillId="6" borderId="41" xfId="0" applyFont="1" applyFill="1" applyBorder="1" applyProtection="1"/>
    <xf numFmtId="0" fontId="1" fillId="0" borderId="19" xfId="0" applyFont="1" applyFill="1" applyBorder="1" applyAlignment="1" applyProtection="1">
      <alignment horizontal="left"/>
    </xf>
    <xf numFmtId="0" fontId="1" fillId="0" borderId="0" xfId="0" applyFont="1" applyBorder="1" applyProtection="1"/>
    <xf numFmtId="0" fontId="8" fillId="0" borderId="0" xfId="0" applyFont="1" applyProtection="1"/>
    <xf numFmtId="0" fontId="0" fillId="0" borderId="0" xfId="0" applyFill="1" applyBorder="1" applyProtection="1">
      <protection locked="0"/>
    </xf>
    <xf numFmtId="0" fontId="0" fillId="2" borderId="4" xfId="0" applyFill="1" applyBorder="1" applyProtection="1">
      <protection locked="0"/>
    </xf>
    <xf numFmtId="165" fontId="2" fillId="0" borderId="0" xfId="0" applyNumberFormat="1" applyFont="1"/>
    <xf numFmtId="0" fontId="2" fillId="0" borderId="0" xfId="0" applyFont="1"/>
    <xf numFmtId="0" fontId="1" fillId="0" borderId="41" xfId="0" applyFont="1" applyFill="1" applyBorder="1" applyAlignment="1" applyProtection="1">
      <alignment horizontal="center" vertical="center" wrapText="1"/>
    </xf>
    <xf numFmtId="164" fontId="11" fillId="0" borderId="47" xfId="0" applyNumberFormat="1" applyFont="1" applyFill="1" applyBorder="1"/>
    <xf numFmtId="0" fontId="6" fillId="5" borderId="50" xfId="0" applyFont="1" applyFill="1" applyBorder="1" applyProtection="1">
      <protection locked="0"/>
    </xf>
    <xf numFmtId="0" fontId="6" fillId="5" borderId="9" xfId="0" applyFont="1" applyFill="1" applyBorder="1" applyProtection="1">
      <protection locked="0"/>
    </xf>
    <xf numFmtId="0" fontId="6" fillId="5" borderId="26" xfId="0" applyFont="1" applyFill="1" applyBorder="1" applyProtection="1">
      <protection locked="0"/>
    </xf>
    <xf numFmtId="20" fontId="1" fillId="6" borderId="41" xfId="0" applyNumberFormat="1" applyFont="1" applyFill="1" applyBorder="1"/>
    <xf numFmtId="0" fontId="0" fillId="0" borderId="0" xfId="0" applyFill="1" applyBorder="1" applyProtection="1"/>
    <xf numFmtId="0" fontId="1" fillId="0" borderId="0" xfId="0" applyFont="1" applyFill="1" applyBorder="1" applyAlignment="1" applyProtection="1">
      <alignment horizontal="left" wrapText="1"/>
    </xf>
    <xf numFmtId="0" fontId="1" fillId="0" borderId="0" xfId="0" applyFont="1" applyFill="1" applyBorder="1" applyAlignment="1" applyProtection="1">
      <alignment horizontal="left"/>
    </xf>
    <xf numFmtId="0" fontId="1" fillId="0" borderId="41" xfId="0" applyFont="1" applyFill="1" applyBorder="1" applyProtection="1"/>
    <xf numFmtId="0" fontId="9" fillId="6" borderId="42" xfId="0" applyFont="1" applyFill="1" applyBorder="1"/>
    <xf numFmtId="0" fontId="0" fillId="6" borderId="17" xfId="0" applyFill="1" applyBorder="1"/>
    <xf numFmtId="0" fontId="0" fillId="6" borderId="6" xfId="0" applyFill="1" applyBorder="1"/>
    <xf numFmtId="0" fontId="0" fillId="6" borderId="31" xfId="0" applyFill="1" applyBorder="1"/>
    <xf numFmtId="0" fontId="0" fillId="6" borderId="0" xfId="0" applyFill="1" applyBorder="1"/>
    <xf numFmtId="0" fontId="0" fillId="6" borderId="45" xfId="0" applyFill="1" applyBorder="1"/>
    <xf numFmtId="0" fontId="0" fillId="6" borderId="18" xfId="0" applyFill="1" applyBorder="1"/>
    <xf numFmtId="164" fontId="11" fillId="0" borderId="0" xfId="0" applyNumberFormat="1" applyFont="1" applyFill="1" applyBorder="1"/>
    <xf numFmtId="164" fontId="0" fillId="0" borderId="43" xfId="0" applyNumberFormat="1" applyFill="1" applyBorder="1"/>
    <xf numFmtId="0" fontId="3" fillId="3" borderId="4" xfId="0" applyFont="1" applyFill="1" applyBorder="1" applyProtection="1">
      <protection locked="0"/>
    </xf>
    <xf numFmtId="0" fontId="3" fillId="3" borderId="55" xfId="0" applyFont="1" applyFill="1" applyBorder="1" applyProtection="1">
      <protection locked="0"/>
    </xf>
    <xf numFmtId="0" fontId="6" fillId="5" borderId="56" xfId="0" applyFont="1" applyFill="1" applyBorder="1" applyProtection="1">
      <protection locked="0"/>
    </xf>
    <xf numFmtId="0" fontId="6" fillId="5" borderId="4" xfId="0" applyFont="1" applyFill="1" applyBorder="1" applyProtection="1">
      <protection locked="0"/>
    </xf>
    <xf numFmtId="0" fontId="6" fillId="5" borderId="55" xfId="0" applyFont="1" applyFill="1" applyBorder="1" applyProtection="1">
      <protection locked="0"/>
    </xf>
    <xf numFmtId="0" fontId="1" fillId="0" borderId="0" xfId="0" applyFont="1" applyFill="1" applyBorder="1" applyAlignment="1" applyProtection="1">
      <alignment horizontal="center" vertical="center" wrapText="1"/>
    </xf>
    <xf numFmtId="0" fontId="1" fillId="0" borderId="18" xfId="0" applyFont="1" applyFill="1" applyBorder="1" applyAlignment="1" applyProtection="1">
      <alignment horizontal="center" vertical="center" wrapText="1"/>
      <protection hidden="1"/>
    </xf>
    <xf numFmtId="0" fontId="0" fillId="0" borderId="0" xfId="0" applyFill="1" applyBorder="1" applyProtection="1">
      <protection locked="0" hidden="1"/>
    </xf>
    <xf numFmtId="0" fontId="0" fillId="0" borderId="0" xfId="0" applyFill="1" applyBorder="1" applyProtection="1">
      <protection hidden="1"/>
    </xf>
    <xf numFmtId="0" fontId="1" fillId="0" borderId="18" xfId="0" applyFont="1" applyFill="1" applyBorder="1" applyAlignment="1" applyProtection="1">
      <alignment horizontal="center" vertical="center" wrapText="1"/>
    </xf>
    <xf numFmtId="166" fontId="10" fillId="7" borderId="40" xfId="3" applyNumberFormat="1" applyFont="1" applyFill="1" applyBorder="1" applyAlignment="1" applyProtection="1">
      <alignment horizontal="center" vertical="center" wrapText="1"/>
    </xf>
    <xf numFmtId="166" fontId="11" fillId="0" borderId="34" xfId="3" applyNumberFormat="1" applyFont="1" applyFill="1" applyBorder="1"/>
    <xf numFmtId="166" fontId="10" fillId="12" borderId="24" xfId="3" applyNumberFormat="1" applyFont="1" applyFill="1" applyBorder="1" applyAlignment="1" applyProtection="1">
      <alignment horizontal="center" vertical="center" wrapText="1"/>
    </xf>
    <xf numFmtId="166" fontId="11" fillId="0" borderId="47" xfId="3" applyNumberFormat="1" applyFont="1" applyFill="1" applyBorder="1"/>
    <xf numFmtId="166" fontId="1" fillId="11" borderId="23" xfId="3" applyNumberFormat="1" applyFont="1" applyFill="1" applyBorder="1" applyAlignment="1" applyProtection="1">
      <alignment horizontal="center" vertical="center" wrapText="1"/>
    </xf>
    <xf numFmtId="166" fontId="0" fillId="0" borderId="33" xfId="3" applyNumberFormat="1" applyFont="1" applyFill="1" applyBorder="1"/>
    <xf numFmtId="164" fontId="1" fillId="11" borderId="40" xfId="0" applyNumberFormat="1" applyFont="1" applyFill="1" applyBorder="1" applyAlignment="1" applyProtection="1">
      <alignment horizontal="center" vertical="center" wrapText="1"/>
    </xf>
    <xf numFmtId="164" fontId="1" fillId="7" borderId="36" xfId="0" applyNumberFormat="1" applyFont="1" applyFill="1" applyBorder="1" applyAlignment="1" applyProtection="1">
      <alignment horizontal="center" vertical="center" wrapText="1"/>
    </xf>
    <xf numFmtId="164" fontId="10" fillId="7" borderId="53" xfId="3" applyNumberFormat="1" applyFont="1" applyFill="1" applyBorder="1" applyAlignment="1" applyProtection="1">
      <alignment horizontal="center" vertical="center" wrapText="1"/>
    </xf>
    <xf numFmtId="164" fontId="0" fillId="0" borderId="34" xfId="0" applyNumberFormat="1" applyFill="1" applyBorder="1"/>
    <xf numFmtId="164" fontId="0" fillId="0" borderId="51" xfId="0" applyNumberFormat="1" applyFill="1" applyBorder="1"/>
    <xf numFmtId="164" fontId="11" fillId="0" borderId="11" xfId="3" applyNumberFormat="1" applyFont="1" applyFill="1" applyBorder="1"/>
    <xf numFmtId="164" fontId="10" fillId="9" borderId="41" xfId="0" applyNumberFormat="1" applyFont="1" applyFill="1" applyBorder="1" applyAlignment="1" applyProtection="1">
      <alignment horizontal="center" vertical="center" wrapText="1"/>
    </xf>
    <xf numFmtId="164" fontId="10" fillId="9" borderId="24" xfId="0" applyNumberFormat="1" applyFont="1" applyFill="1" applyBorder="1" applyAlignment="1" applyProtection="1">
      <alignment horizontal="center" vertical="center" wrapText="1"/>
    </xf>
    <xf numFmtId="164" fontId="10" fillId="12" borderId="41" xfId="0" applyNumberFormat="1" applyFont="1" applyFill="1" applyBorder="1" applyAlignment="1" applyProtection="1">
      <alignment horizontal="center" vertical="center" wrapText="1"/>
    </xf>
    <xf numFmtId="164" fontId="10" fillId="8" borderId="19" xfId="0" applyNumberFormat="1" applyFont="1" applyFill="1" applyBorder="1" applyAlignment="1" applyProtection="1">
      <alignment horizontal="center" vertical="center" wrapText="1"/>
    </xf>
    <xf numFmtId="0" fontId="4" fillId="3" borderId="59" xfId="0" applyFont="1" applyFill="1" applyBorder="1" applyAlignment="1">
      <alignment horizontal="center" vertical="center"/>
    </xf>
    <xf numFmtId="0" fontId="4" fillId="3" borderId="57" xfId="0" applyFont="1" applyFill="1" applyBorder="1" applyAlignment="1">
      <alignment horizontal="center" vertical="center"/>
    </xf>
    <xf numFmtId="0" fontId="4" fillId="3" borderId="58" xfId="0" applyFont="1" applyFill="1" applyBorder="1" applyAlignment="1">
      <alignment horizontal="center" vertical="center"/>
    </xf>
    <xf numFmtId="0" fontId="5" fillId="5" borderId="59" xfId="0" applyFont="1" applyFill="1" applyBorder="1" applyAlignment="1">
      <alignment horizontal="center" vertical="center"/>
    </xf>
    <xf numFmtId="0" fontId="5" fillId="5" borderId="57" xfId="0" applyFont="1" applyFill="1" applyBorder="1" applyAlignment="1">
      <alignment horizontal="center" vertical="center"/>
    </xf>
    <xf numFmtId="0" fontId="5" fillId="5" borderId="58" xfId="0" applyFont="1" applyFill="1" applyBorder="1" applyAlignment="1">
      <alignment horizontal="center" vertical="center"/>
    </xf>
    <xf numFmtId="0" fontId="4" fillId="3" borderId="36" xfId="0" applyFont="1" applyFill="1" applyBorder="1" applyProtection="1">
      <protection locked="0"/>
    </xf>
    <xf numFmtId="0" fontId="4" fillId="3" borderId="53" xfId="0" applyFont="1" applyFill="1" applyBorder="1" applyProtection="1">
      <protection locked="0"/>
    </xf>
    <xf numFmtId="0" fontId="4" fillId="3" borderId="24" xfId="0" applyFont="1" applyFill="1" applyBorder="1" applyProtection="1">
      <protection locked="0"/>
    </xf>
    <xf numFmtId="0" fontId="5" fillId="5" borderId="25" xfId="0" applyFont="1" applyFill="1" applyBorder="1" applyProtection="1">
      <protection locked="0"/>
    </xf>
    <xf numFmtId="0" fontId="5" fillId="5" borderId="53" xfId="0" applyFont="1" applyFill="1" applyBorder="1" applyProtection="1">
      <protection locked="0"/>
    </xf>
    <xf numFmtId="0" fontId="5" fillId="5" borderId="24" xfId="0" applyFont="1" applyFill="1" applyBorder="1" applyProtection="1">
      <protection locked="0"/>
    </xf>
    <xf numFmtId="0" fontId="3" fillId="3" borderId="56" xfId="0" applyFont="1" applyFill="1" applyBorder="1" applyProtection="1">
      <protection locked="0"/>
    </xf>
    <xf numFmtId="0" fontId="3" fillId="3" borderId="35" xfId="0" applyFont="1" applyFill="1" applyBorder="1" applyProtection="1">
      <protection locked="0"/>
    </xf>
    <xf numFmtId="0" fontId="3" fillId="3" borderId="53" xfId="0" applyFont="1" applyFill="1" applyBorder="1" applyProtection="1">
      <protection locked="0"/>
    </xf>
    <xf numFmtId="0" fontId="3" fillId="3" borderId="24" xfId="0" applyFont="1" applyFill="1" applyBorder="1" applyProtection="1">
      <protection locked="0"/>
    </xf>
    <xf numFmtId="0" fontId="6" fillId="5" borderId="25" xfId="0" applyFont="1" applyFill="1" applyBorder="1" applyProtection="1">
      <protection locked="0"/>
    </xf>
    <xf numFmtId="0" fontId="6" fillId="5" borderId="53" xfId="0" applyFont="1" applyFill="1" applyBorder="1" applyProtection="1">
      <protection locked="0"/>
    </xf>
    <xf numFmtId="0" fontId="6" fillId="5" borderId="24" xfId="0" applyFont="1" applyFill="1" applyBorder="1" applyProtection="1">
      <protection locked="0"/>
    </xf>
    <xf numFmtId="0" fontId="0" fillId="6" borderId="19" xfId="0" applyFont="1" applyFill="1" applyBorder="1" applyProtection="1"/>
    <xf numFmtId="0" fontId="1" fillId="2" borderId="19" xfId="0" applyFont="1" applyFill="1" applyBorder="1" applyAlignment="1" applyProtection="1">
      <alignment horizontal="center" vertical="center"/>
      <protection locked="0"/>
    </xf>
    <xf numFmtId="0" fontId="3" fillId="3" borderId="50" xfId="0" applyFont="1" applyFill="1" applyBorder="1" applyProtection="1">
      <protection locked="0"/>
    </xf>
    <xf numFmtId="0" fontId="3" fillId="3" borderId="25" xfId="0" applyFont="1" applyFill="1" applyBorder="1" applyProtection="1">
      <protection locked="0"/>
    </xf>
    <xf numFmtId="0" fontId="1" fillId="6" borderId="16" xfId="0" applyFont="1" applyFill="1" applyBorder="1"/>
    <xf numFmtId="0" fontId="1" fillId="11" borderId="44" xfId="0" applyFont="1" applyFill="1" applyBorder="1"/>
    <xf numFmtId="0" fontId="1" fillId="11" borderId="27" xfId="0" applyFont="1" applyFill="1" applyBorder="1"/>
    <xf numFmtId="0" fontId="1" fillId="7" borderId="27" xfId="0" applyFont="1" applyFill="1" applyBorder="1"/>
    <xf numFmtId="0" fontId="1" fillId="9" borderId="27" xfId="0" applyFont="1" applyFill="1" applyBorder="1"/>
    <xf numFmtId="0" fontId="1" fillId="10" borderId="27" xfId="0" applyFont="1" applyFill="1" applyBorder="1"/>
    <xf numFmtId="0" fontId="1" fillId="8" borderId="28" xfId="0" applyFont="1" applyFill="1" applyBorder="1"/>
    <xf numFmtId="0" fontId="0" fillId="13" borderId="37" xfId="0" applyFill="1" applyBorder="1"/>
    <xf numFmtId="0" fontId="0" fillId="13" borderId="56" xfId="0" applyFill="1" applyBorder="1"/>
    <xf numFmtId="0" fontId="0" fillId="13" borderId="35" xfId="0" applyFill="1" applyBorder="1"/>
    <xf numFmtId="0" fontId="0" fillId="14" borderId="0" xfId="0" applyFill="1"/>
    <xf numFmtId="0" fontId="0" fillId="0" borderId="60" xfId="0" applyBorder="1"/>
    <xf numFmtId="0" fontId="0" fillId="14" borderId="0" xfId="0" applyFill="1" applyBorder="1"/>
    <xf numFmtId="0" fontId="0" fillId="0" borderId="23" xfId="0" applyBorder="1"/>
    <xf numFmtId="0" fontId="0" fillId="0" borderId="41" xfId="0" applyBorder="1"/>
    <xf numFmtId="0" fontId="0" fillId="0" borderId="40" xfId="0" applyBorder="1"/>
    <xf numFmtId="0" fontId="0" fillId="0" borderId="38" xfId="0" applyBorder="1"/>
    <xf numFmtId="0" fontId="0" fillId="0" borderId="20" xfId="0" applyBorder="1"/>
    <xf numFmtId="0" fontId="0" fillId="0" borderId="61" xfId="0" applyBorder="1"/>
    <xf numFmtId="0" fontId="0" fillId="0" borderId="62" xfId="0" applyBorder="1"/>
    <xf numFmtId="0" fontId="0" fillId="0" borderId="38" xfId="0" applyFill="1" applyBorder="1"/>
    <xf numFmtId="0" fontId="0" fillId="13" borderId="38" xfId="0" applyFill="1" applyBorder="1"/>
    <xf numFmtId="0" fontId="0" fillId="13" borderId="4" xfId="0" applyFill="1" applyBorder="1"/>
    <xf numFmtId="0" fontId="0" fillId="13" borderId="20" xfId="0" applyFill="1" applyBorder="1"/>
    <xf numFmtId="0" fontId="0" fillId="0" borderId="63" xfId="0" applyBorder="1"/>
    <xf numFmtId="0" fontId="0" fillId="0" borderId="64" xfId="0" applyBorder="1"/>
    <xf numFmtId="0" fontId="0" fillId="13" borderId="39" xfId="0" applyFill="1" applyBorder="1"/>
    <xf numFmtId="0" fontId="0" fillId="13" borderId="55" xfId="0" applyFill="1" applyBorder="1"/>
    <xf numFmtId="0" fontId="0" fillId="13" borderId="21" xfId="0" applyFill="1" applyBorder="1"/>
    <xf numFmtId="0" fontId="0" fillId="0" borderId="65" xfId="0" applyBorder="1"/>
    <xf numFmtId="0" fontId="1" fillId="0" borderId="14" xfId="0" applyFont="1" applyBorder="1" applyAlignment="1">
      <alignment horizontal="center"/>
    </xf>
    <xf numFmtId="0" fontId="0" fillId="0" borderId="14" xfId="0" applyBorder="1"/>
    <xf numFmtId="0" fontId="0" fillId="0" borderId="14" xfId="0" applyFill="1" applyBorder="1"/>
    <xf numFmtId="0" fontId="0" fillId="14" borderId="11" xfId="0" applyFill="1" applyBorder="1"/>
    <xf numFmtId="0" fontId="0" fillId="0" borderId="66" xfId="0" applyBorder="1"/>
    <xf numFmtId="0" fontId="0" fillId="0" borderId="67" xfId="0" applyBorder="1"/>
    <xf numFmtId="0" fontId="0" fillId="0" borderId="45" xfId="0" applyBorder="1" applyAlignment="1">
      <alignment horizontal="center"/>
    </xf>
    <xf numFmtId="0" fontId="0" fillId="0" borderId="49" xfId="0" applyBorder="1"/>
    <xf numFmtId="0" fontId="0" fillId="0" borderId="68" xfId="0" applyBorder="1"/>
    <xf numFmtId="0" fontId="0" fillId="0" borderId="69" xfId="0" applyBorder="1"/>
    <xf numFmtId="0" fontId="0" fillId="0" borderId="22" xfId="0" applyBorder="1"/>
    <xf numFmtId="0" fontId="0" fillId="0" borderId="70" xfId="0" applyBorder="1"/>
    <xf numFmtId="0" fontId="0" fillId="0" borderId="71" xfId="0" applyBorder="1"/>
    <xf numFmtId="0" fontId="0" fillId="0" borderId="72" xfId="0" applyBorder="1"/>
    <xf numFmtId="0" fontId="0" fillId="0" borderId="73" xfId="0" applyBorder="1"/>
    <xf numFmtId="0" fontId="0" fillId="0" borderId="21" xfId="0" applyBorder="1"/>
    <xf numFmtId="0" fontId="0" fillId="0" borderId="0" xfId="0" applyBorder="1" applyAlignment="1" applyProtection="1">
      <alignment horizontal="center"/>
      <protection locked="0"/>
    </xf>
    <xf numFmtId="0" fontId="0" fillId="0" borderId="0" xfId="0" applyFill="1" applyBorder="1" applyAlignment="1" applyProtection="1">
      <alignment horizontal="center"/>
      <protection locked="0"/>
    </xf>
    <xf numFmtId="9" fontId="0" fillId="0" borderId="33" xfId="3" applyNumberFormat="1" applyFont="1" applyFill="1" applyBorder="1" applyAlignment="1" applyProtection="1">
      <alignment horizontal="center"/>
      <protection locked="0"/>
    </xf>
    <xf numFmtId="164" fontId="0" fillId="0" borderId="34" xfId="0" applyNumberFormat="1" applyFill="1" applyBorder="1" applyAlignment="1" applyProtection="1">
      <alignment horizontal="center"/>
      <protection locked="0"/>
    </xf>
    <xf numFmtId="164" fontId="0" fillId="0" borderId="51" xfId="0" applyNumberFormat="1" applyFill="1" applyBorder="1" applyAlignment="1" applyProtection="1">
      <alignment horizontal="center"/>
      <protection locked="0"/>
    </xf>
    <xf numFmtId="164" fontId="11" fillId="0" borderId="11" xfId="3" applyNumberFormat="1" applyFont="1" applyFill="1" applyBorder="1" applyAlignment="1" applyProtection="1">
      <alignment horizontal="center"/>
      <protection locked="0"/>
    </xf>
    <xf numFmtId="9" fontId="11" fillId="0" borderId="34" xfId="3" applyNumberFormat="1" applyFont="1" applyFill="1" applyBorder="1" applyAlignment="1" applyProtection="1">
      <alignment horizontal="center"/>
      <protection locked="0"/>
    </xf>
    <xf numFmtId="164" fontId="11" fillId="0" borderId="0" xfId="0" applyNumberFormat="1" applyFont="1" applyFill="1" applyBorder="1" applyAlignment="1" applyProtection="1">
      <alignment horizontal="center"/>
      <protection locked="0"/>
    </xf>
    <xf numFmtId="164" fontId="11" fillId="0" borderId="47" xfId="0" applyNumberFormat="1" applyFont="1" applyFill="1" applyBorder="1" applyAlignment="1" applyProtection="1">
      <alignment horizontal="center"/>
      <protection locked="0"/>
    </xf>
    <xf numFmtId="9" fontId="11" fillId="0" borderId="47" xfId="3" applyNumberFormat="1" applyFont="1" applyFill="1" applyBorder="1" applyAlignment="1" applyProtection="1">
      <alignment horizontal="center"/>
      <protection locked="0"/>
    </xf>
    <xf numFmtId="164" fontId="0" fillId="0" borderId="43" xfId="0" applyNumberFormat="1" applyFill="1" applyBorder="1" applyAlignment="1" applyProtection="1">
      <alignment horizontal="center"/>
      <protection locked="0"/>
    </xf>
    <xf numFmtId="166" fontId="0" fillId="0" borderId="33" xfId="3" applyNumberFormat="1" applyFont="1" applyFill="1" applyBorder="1" applyAlignment="1" applyProtection="1">
      <alignment horizontal="center"/>
      <protection locked="0"/>
    </xf>
    <xf numFmtId="166" fontId="11" fillId="0" borderId="34" xfId="3" applyNumberFormat="1" applyFont="1" applyFill="1" applyBorder="1" applyAlignment="1" applyProtection="1">
      <alignment horizontal="center"/>
      <protection locked="0"/>
    </xf>
    <xf numFmtId="166" fontId="11" fillId="0" borderId="47" xfId="3" applyNumberFormat="1" applyFont="1" applyFill="1" applyBorder="1" applyAlignment="1" applyProtection="1">
      <alignment horizontal="center"/>
      <protection locked="0"/>
    </xf>
    <xf numFmtId="0" fontId="12" fillId="0" borderId="0" xfId="1" applyFont="1" applyFill="1" applyBorder="1" applyAlignment="1" applyProtection="1">
      <alignment horizontal="center"/>
      <protection locked="0"/>
    </xf>
    <xf numFmtId="0" fontId="13" fillId="0" borderId="0" xfId="1" applyFont="1" applyBorder="1" applyAlignment="1" applyProtection="1">
      <alignment horizontal="center"/>
      <protection locked="0"/>
    </xf>
    <xf numFmtId="0" fontId="1" fillId="0" borderId="0" xfId="0" applyFont="1" applyFill="1" applyBorder="1" applyAlignment="1" applyProtection="1">
      <alignment horizontal="center"/>
      <protection locked="0"/>
    </xf>
    <xf numFmtId="0" fontId="1" fillId="0" borderId="18" xfId="0" applyFont="1" applyFill="1" applyBorder="1" applyAlignment="1" applyProtection="1">
      <alignment horizontal="center"/>
      <protection locked="0"/>
    </xf>
    <xf numFmtId="0" fontId="0" fillId="0" borderId="18" xfId="0" applyFill="1" applyBorder="1" applyAlignment="1" applyProtection="1">
      <alignment horizontal="center"/>
      <protection locked="0"/>
    </xf>
    <xf numFmtId="166" fontId="0" fillId="0" borderId="46" xfId="3" applyNumberFormat="1" applyFont="1" applyFill="1" applyBorder="1" applyAlignment="1" applyProtection="1">
      <alignment horizontal="center"/>
      <protection locked="0"/>
    </xf>
    <xf numFmtId="164" fontId="0" fillId="0" borderId="29" xfId="0" applyNumberFormat="1" applyFill="1" applyBorder="1" applyAlignment="1" applyProtection="1">
      <alignment horizontal="center"/>
      <protection locked="0"/>
    </xf>
    <xf numFmtId="164" fontId="0" fillId="0" borderId="52" xfId="0" applyNumberFormat="1" applyFill="1" applyBorder="1" applyAlignment="1" applyProtection="1">
      <alignment horizontal="center"/>
      <protection locked="0"/>
    </xf>
    <xf numFmtId="164" fontId="11" fillId="0" borderId="54" xfId="3" applyNumberFormat="1" applyFont="1" applyFill="1" applyBorder="1" applyAlignment="1" applyProtection="1">
      <alignment horizontal="center"/>
      <protection locked="0"/>
    </xf>
    <xf numFmtId="166" fontId="11" fillId="0" borderId="29" xfId="3" applyNumberFormat="1" applyFont="1" applyFill="1" applyBorder="1" applyAlignment="1" applyProtection="1">
      <alignment horizontal="center"/>
      <protection locked="0"/>
    </xf>
    <xf numFmtId="164" fontId="11" fillId="0" borderId="18" xfId="0" applyNumberFormat="1" applyFont="1" applyFill="1" applyBorder="1" applyAlignment="1" applyProtection="1">
      <alignment horizontal="center"/>
      <protection locked="0"/>
    </xf>
    <xf numFmtId="164" fontId="11" fillId="0" borderId="48" xfId="0" applyNumberFormat="1" applyFont="1" applyFill="1" applyBorder="1" applyAlignment="1" applyProtection="1">
      <alignment horizontal="center"/>
      <protection locked="0"/>
    </xf>
    <xf numFmtId="166" fontId="11" fillId="0" borderId="48" xfId="3" applyNumberFormat="1" applyFont="1" applyFill="1" applyBorder="1" applyAlignment="1" applyProtection="1">
      <alignment horizontal="center"/>
      <protection locked="0"/>
    </xf>
    <xf numFmtId="164" fontId="0" fillId="0" borderId="42" xfId="0" applyNumberFormat="1" applyFill="1" applyBorder="1" applyAlignment="1" applyProtection="1">
      <alignment horizontal="center"/>
      <protection locked="0"/>
    </xf>
    <xf numFmtId="0" fontId="1" fillId="0" borderId="0" xfId="0" applyFont="1" applyFill="1" applyBorder="1" applyAlignment="1">
      <alignment horizontal="center"/>
    </xf>
    <xf numFmtId="0" fontId="0" fillId="0" borderId="0" xfId="0" applyFill="1" applyBorder="1" applyAlignment="1">
      <alignment horizontal="center"/>
    </xf>
    <xf numFmtId="166" fontId="0" fillId="0" borderId="33" xfId="3" applyNumberFormat="1" applyFont="1" applyFill="1" applyBorder="1" applyAlignment="1">
      <alignment horizontal="center"/>
    </xf>
    <xf numFmtId="164" fontId="0" fillId="0" borderId="34" xfId="0" applyNumberFormat="1" applyFill="1" applyBorder="1" applyAlignment="1">
      <alignment horizontal="center"/>
    </xf>
    <xf numFmtId="164" fontId="0" fillId="0" borderId="51" xfId="0" applyNumberFormat="1" applyFill="1" applyBorder="1" applyAlignment="1">
      <alignment horizontal="center"/>
    </xf>
    <xf numFmtId="164" fontId="11" fillId="0" borderId="11" xfId="3" applyNumberFormat="1" applyFont="1" applyFill="1" applyBorder="1" applyAlignment="1">
      <alignment horizontal="center"/>
    </xf>
    <xf numFmtId="166" fontId="11" fillId="0" borderId="34" xfId="3" applyNumberFormat="1" applyFont="1" applyFill="1" applyBorder="1" applyAlignment="1">
      <alignment horizontal="center"/>
    </xf>
    <xf numFmtId="164" fontId="11" fillId="0" borderId="0" xfId="0" applyNumberFormat="1" applyFont="1" applyFill="1" applyBorder="1" applyAlignment="1">
      <alignment horizontal="center"/>
    </xf>
    <xf numFmtId="164" fontId="11" fillId="0" borderId="47" xfId="0" applyNumberFormat="1" applyFont="1" applyFill="1" applyBorder="1" applyAlignment="1">
      <alignment horizontal="center"/>
    </xf>
    <xf numFmtId="166" fontId="11" fillId="0" borderId="47" xfId="3" applyNumberFormat="1" applyFont="1" applyFill="1" applyBorder="1" applyAlignment="1">
      <alignment horizontal="center"/>
    </xf>
    <xf numFmtId="164" fontId="0" fillId="0" borderId="43" xfId="0" applyNumberFormat="1" applyFill="1" applyBorder="1" applyAlignment="1">
      <alignment horizontal="center"/>
    </xf>
    <xf numFmtId="0" fontId="1" fillId="0" borderId="33" xfId="0" applyFont="1" applyBorder="1" applyProtection="1">
      <protection locked="0"/>
    </xf>
    <xf numFmtId="0" fontId="1" fillId="0" borderId="46" xfId="0" applyFont="1" applyBorder="1" applyProtection="1">
      <protection locked="0"/>
    </xf>
    <xf numFmtId="164" fontId="0" fillId="7" borderId="4" xfId="0" applyNumberFormat="1" applyFill="1" applyBorder="1" applyAlignment="1" applyProtection="1">
      <alignment horizontal="center"/>
      <protection locked="0"/>
    </xf>
    <xf numFmtId="0" fontId="1" fillId="0" borderId="16" xfId="0" applyFont="1" applyBorder="1" applyProtection="1"/>
    <xf numFmtId="0" fontId="1" fillId="0" borderId="33" xfId="0" applyFont="1" applyBorder="1" applyProtection="1"/>
    <xf numFmtId="0" fontId="1" fillId="11" borderId="74" xfId="0" applyFont="1" applyFill="1" applyBorder="1" applyAlignment="1">
      <alignment horizontal="center" vertical="center" wrapText="1"/>
    </xf>
    <xf numFmtId="0" fontId="1" fillId="11" borderId="75" xfId="0" applyFont="1" applyFill="1" applyBorder="1" applyAlignment="1">
      <alignment horizontal="center" vertical="center" wrapText="1"/>
    </xf>
    <xf numFmtId="0" fontId="1" fillId="7" borderId="16" xfId="0" applyFont="1" applyFill="1" applyBorder="1" applyAlignment="1">
      <alignment horizontal="center" vertical="center" wrapText="1"/>
    </xf>
    <xf numFmtId="0" fontId="10" fillId="7" borderId="57" xfId="0" applyFont="1" applyFill="1" applyBorder="1" applyAlignment="1">
      <alignment horizontal="center" vertical="center" wrapText="1"/>
    </xf>
    <xf numFmtId="0" fontId="10" fillId="7" borderId="58" xfId="0" applyFont="1" applyFill="1" applyBorder="1" applyAlignment="1">
      <alignment horizontal="center" vertical="center" wrapText="1"/>
    </xf>
    <xf numFmtId="0" fontId="10" fillId="9" borderId="74" xfId="0" applyFont="1" applyFill="1" applyBorder="1" applyAlignment="1">
      <alignment horizontal="center" vertical="center" wrapText="1"/>
    </xf>
    <xf numFmtId="0" fontId="10" fillId="9" borderId="75" xfId="0" applyFont="1" applyFill="1" applyBorder="1" applyAlignment="1">
      <alignment horizontal="center" vertical="center" wrapText="1"/>
    </xf>
    <xf numFmtId="0" fontId="10" fillId="12" borderId="74" xfId="0" applyFont="1" applyFill="1" applyBorder="1" applyAlignment="1">
      <alignment horizontal="center" vertical="center" wrapText="1"/>
    </xf>
    <xf numFmtId="0" fontId="10" fillId="12" borderId="75" xfId="0" applyFont="1" applyFill="1" applyBorder="1" applyAlignment="1">
      <alignment horizontal="center" vertical="center" wrapText="1"/>
    </xf>
    <xf numFmtId="0" fontId="1" fillId="8" borderId="30" xfId="0" applyFont="1" applyFill="1" applyBorder="1" applyAlignment="1" applyProtection="1">
      <alignment horizontal="center" vertical="center" wrapText="1"/>
    </xf>
    <xf numFmtId="164" fontId="1" fillId="11" borderId="76" xfId="0" applyNumberFormat="1" applyFont="1" applyFill="1" applyBorder="1" applyAlignment="1" applyProtection="1">
      <alignment horizontal="center" vertical="center" wrapText="1"/>
    </xf>
    <xf numFmtId="164" fontId="1" fillId="11" borderId="77" xfId="0" applyNumberFormat="1" applyFont="1" applyFill="1" applyBorder="1" applyAlignment="1" applyProtection="1">
      <alignment horizontal="center" vertical="center" wrapText="1"/>
    </xf>
    <xf numFmtId="164" fontId="1" fillId="7" borderId="33" xfId="0" applyNumberFormat="1" applyFont="1" applyFill="1" applyBorder="1" applyAlignment="1" applyProtection="1">
      <alignment horizontal="center" vertical="center" wrapText="1"/>
    </xf>
    <xf numFmtId="164" fontId="10" fillId="7" borderId="11" xfId="0" applyNumberFormat="1" applyFont="1" applyFill="1" applyBorder="1" applyAlignment="1" applyProtection="1">
      <alignment horizontal="center" vertical="center" wrapText="1"/>
    </xf>
    <xf numFmtId="164" fontId="10" fillId="7" borderId="47" xfId="0" applyNumberFormat="1" applyFont="1" applyFill="1" applyBorder="1" applyAlignment="1" applyProtection="1">
      <alignment horizontal="center" vertical="center" wrapText="1"/>
    </xf>
    <xf numFmtId="164" fontId="10" fillId="9" borderId="76" xfId="0" applyNumberFormat="1" applyFont="1" applyFill="1" applyBorder="1" applyAlignment="1" applyProtection="1">
      <alignment horizontal="center" vertical="center" wrapText="1"/>
    </xf>
    <xf numFmtId="164" fontId="10" fillId="9" borderId="77" xfId="0" applyNumberFormat="1" applyFont="1" applyFill="1" applyBorder="1" applyAlignment="1" applyProtection="1">
      <alignment horizontal="center" vertical="center" wrapText="1"/>
    </xf>
    <xf numFmtId="164" fontId="10" fillId="12" borderId="76" xfId="0" applyNumberFormat="1" applyFont="1" applyFill="1" applyBorder="1" applyAlignment="1" applyProtection="1">
      <alignment horizontal="center" vertical="center" wrapText="1"/>
    </xf>
    <xf numFmtId="164" fontId="10" fillId="12" borderId="77" xfId="0" applyNumberFormat="1" applyFont="1" applyFill="1" applyBorder="1" applyAlignment="1" applyProtection="1">
      <alignment horizontal="center" vertical="center" wrapText="1"/>
    </xf>
    <xf numFmtId="164" fontId="1" fillId="8" borderId="43" xfId="0" applyNumberFormat="1" applyFont="1" applyFill="1" applyBorder="1" applyAlignment="1" applyProtection="1">
      <alignment horizontal="center" vertical="center" wrapText="1"/>
    </xf>
    <xf numFmtId="9" fontId="0" fillId="11" borderId="37" xfId="3" applyNumberFormat="1" applyFont="1" applyFill="1" applyBorder="1" applyAlignment="1" applyProtection="1">
      <alignment horizontal="center"/>
      <protection locked="0"/>
    </xf>
    <xf numFmtId="164" fontId="0" fillId="11" borderId="35" xfId="0" applyNumberFormat="1" applyFill="1" applyBorder="1" applyAlignment="1" applyProtection="1">
      <alignment horizontal="center"/>
      <protection locked="0"/>
    </xf>
    <xf numFmtId="1" fontId="0" fillId="11" borderId="39" xfId="0" applyNumberFormat="1" applyFill="1" applyBorder="1" applyAlignment="1" applyProtection="1">
      <alignment horizontal="center"/>
      <protection locked="0"/>
    </xf>
    <xf numFmtId="1" fontId="0" fillId="11" borderId="21" xfId="0" applyNumberFormat="1" applyFill="1" applyBorder="1" applyAlignment="1" applyProtection="1">
      <alignment horizontal="center"/>
      <protection locked="0"/>
    </xf>
    <xf numFmtId="164" fontId="0" fillId="7" borderId="37" xfId="0" applyNumberFormat="1" applyFill="1" applyBorder="1" applyAlignment="1" applyProtection="1">
      <alignment horizontal="center"/>
      <protection locked="0"/>
    </xf>
    <xf numFmtId="164" fontId="0" fillId="7" borderId="56" xfId="0" applyNumberFormat="1" applyFill="1" applyBorder="1" applyAlignment="1" applyProtection="1">
      <alignment horizontal="center"/>
      <protection locked="0"/>
    </xf>
    <xf numFmtId="9" fontId="0" fillId="7" borderId="35" xfId="3" applyNumberFormat="1" applyFont="1" applyFill="1" applyBorder="1" applyAlignment="1" applyProtection="1">
      <alignment horizontal="center"/>
      <protection locked="0"/>
    </xf>
    <xf numFmtId="1" fontId="0" fillId="7" borderId="39" xfId="0" applyNumberFormat="1" applyFill="1" applyBorder="1" applyAlignment="1" applyProtection="1">
      <alignment horizontal="center"/>
      <protection locked="0"/>
    </xf>
    <xf numFmtId="1" fontId="0" fillId="7" borderId="55" xfId="0" applyNumberFormat="1" applyFill="1" applyBorder="1" applyAlignment="1" applyProtection="1">
      <alignment horizontal="center"/>
      <protection locked="0"/>
    </xf>
    <xf numFmtId="1" fontId="0" fillId="7" borderId="21" xfId="0" applyNumberFormat="1" applyFill="1" applyBorder="1" applyAlignment="1" applyProtection="1">
      <alignment horizontal="center"/>
      <protection locked="0"/>
    </xf>
    <xf numFmtId="164" fontId="0" fillId="9" borderId="37" xfId="0" applyNumberFormat="1" applyFill="1" applyBorder="1" applyAlignment="1" applyProtection="1">
      <alignment horizontal="center"/>
      <protection locked="0"/>
    </xf>
    <xf numFmtId="164" fontId="0" fillId="9" borderId="35" xfId="0" applyNumberFormat="1" applyFill="1" applyBorder="1" applyAlignment="1" applyProtection="1">
      <alignment horizontal="center"/>
      <protection locked="0"/>
    </xf>
    <xf numFmtId="1" fontId="0" fillId="9" borderId="39" xfId="0" applyNumberFormat="1" applyFill="1" applyBorder="1" applyAlignment="1" applyProtection="1">
      <alignment horizontal="center"/>
      <protection locked="0"/>
    </xf>
    <xf numFmtId="1" fontId="0" fillId="9" borderId="21" xfId="0" applyNumberFormat="1" applyFill="1" applyBorder="1" applyAlignment="1" applyProtection="1">
      <alignment horizontal="center"/>
      <protection locked="0"/>
    </xf>
    <xf numFmtId="164" fontId="0" fillId="12" borderId="37" xfId="0" applyNumberFormat="1" applyFill="1" applyBorder="1" applyAlignment="1" applyProtection="1">
      <alignment horizontal="center"/>
      <protection locked="0"/>
    </xf>
    <xf numFmtId="9" fontId="0" fillId="12" borderId="56" xfId="3" applyNumberFormat="1" applyFont="1" applyFill="1" applyBorder="1" applyAlignment="1" applyProtection="1">
      <alignment horizontal="center"/>
      <protection locked="0"/>
    </xf>
    <xf numFmtId="164" fontId="0" fillId="8" borderId="35" xfId="0" applyNumberFormat="1" applyFill="1" applyBorder="1" applyAlignment="1" applyProtection="1">
      <alignment horizontal="center"/>
      <protection locked="0"/>
    </xf>
    <xf numFmtId="1" fontId="0" fillId="12" borderId="39" xfId="0" applyNumberFormat="1" applyFill="1" applyBorder="1" applyAlignment="1" applyProtection="1">
      <alignment horizontal="center"/>
      <protection locked="0"/>
    </xf>
    <xf numFmtId="1" fontId="0" fillId="12" borderId="55" xfId="0" applyNumberFormat="1" applyFill="1" applyBorder="1" applyAlignment="1" applyProtection="1">
      <alignment horizontal="center"/>
      <protection locked="0"/>
    </xf>
    <xf numFmtId="1" fontId="0" fillId="8" borderId="21" xfId="0" applyNumberFormat="1" applyFill="1" applyBorder="1" applyAlignment="1" applyProtection="1">
      <alignment horizontal="center"/>
      <protection locked="0"/>
    </xf>
    <xf numFmtId="164" fontId="0" fillId="11" borderId="37" xfId="0" applyNumberFormat="1" applyFill="1" applyBorder="1" applyAlignment="1" applyProtection="1">
      <alignment horizontal="center"/>
      <protection locked="0"/>
    </xf>
    <xf numFmtId="164" fontId="0" fillId="11" borderId="38" xfId="0" applyNumberFormat="1" applyFill="1" applyBorder="1" applyAlignment="1" applyProtection="1">
      <alignment horizontal="center"/>
      <protection locked="0"/>
    </xf>
    <xf numFmtId="164" fontId="0" fillId="11" borderId="20" xfId="0" applyNumberFormat="1" applyFill="1" applyBorder="1" applyAlignment="1" applyProtection="1">
      <alignment horizontal="center"/>
      <protection locked="0"/>
    </xf>
    <xf numFmtId="164" fontId="0" fillId="11" borderId="39" xfId="0" applyNumberFormat="1" applyFill="1" applyBorder="1" applyAlignment="1" applyProtection="1">
      <alignment horizontal="center"/>
      <protection locked="0"/>
    </xf>
    <xf numFmtId="164" fontId="0" fillId="11" borderId="21" xfId="0" applyNumberFormat="1" applyFill="1" applyBorder="1" applyAlignment="1" applyProtection="1">
      <alignment horizontal="center"/>
      <protection locked="0"/>
    </xf>
    <xf numFmtId="164" fontId="0" fillId="7" borderId="35" xfId="0" applyNumberFormat="1" applyFill="1" applyBorder="1" applyAlignment="1" applyProtection="1">
      <alignment horizontal="center"/>
      <protection locked="0"/>
    </xf>
    <xf numFmtId="164" fontId="0" fillId="7" borderId="38" xfId="0" applyNumberFormat="1" applyFill="1" applyBorder="1" applyAlignment="1" applyProtection="1">
      <alignment horizontal="center"/>
      <protection locked="0"/>
    </xf>
    <xf numFmtId="164" fontId="0" fillId="7" borderId="20" xfId="0" applyNumberFormat="1" applyFill="1" applyBorder="1" applyAlignment="1" applyProtection="1">
      <alignment horizontal="center"/>
      <protection locked="0"/>
    </xf>
    <xf numFmtId="164" fontId="0" fillId="7" borderId="39" xfId="0" applyNumberFormat="1" applyFill="1" applyBorder="1" applyAlignment="1" applyProtection="1">
      <alignment horizontal="center"/>
      <protection locked="0"/>
    </xf>
    <xf numFmtId="164" fontId="0" fillId="7" borderId="55" xfId="0" applyNumberFormat="1" applyFill="1" applyBorder="1" applyAlignment="1" applyProtection="1">
      <alignment horizontal="center"/>
      <protection locked="0"/>
    </xf>
    <xf numFmtId="164" fontId="0" fillId="7" borderId="21" xfId="0" applyNumberFormat="1" applyFill="1" applyBorder="1" applyAlignment="1" applyProtection="1">
      <alignment horizontal="center"/>
      <protection locked="0"/>
    </xf>
    <xf numFmtId="164" fontId="0" fillId="12" borderId="35" xfId="0" applyNumberFormat="1" applyFill="1" applyBorder="1" applyAlignment="1" applyProtection="1">
      <alignment horizontal="center"/>
      <protection locked="0"/>
    </xf>
    <xf numFmtId="164" fontId="0" fillId="12" borderId="38" xfId="0" applyNumberFormat="1" applyFill="1" applyBorder="1" applyAlignment="1" applyProtection="1">
      <alignment horizontal="center"/>
      <protection locked="0"/>
    </xf>
    <xf numFmtId="164" fontId="0" fillId="12" borderId="20" xfId="0" applyNumberFormat="1" applyFill="1" applyBorder="1" applyAlignment="1" applyProtection="1">
      <alignment horizontal="center"/>
      <protection locked="0"/>
    </xf>
    <xf numFmtId="164" fontId="0" fillId="12" borderId="39" xfId="0" applyNumberFormat="1" applyFill="1" applyBorder="1" applyAlignment="1" applyProtection="1">
      <alignment horizontal="center"/>
      <protection locked="0"/>
    </xf>
    <xf numFmtId="164" fontId="0" fillId="12" borderId="21" xfId="0" applyNumberFormat="1" applyFill="1" applyBorder="1" applyAlignment="1" applyProtection="1">
      <alignment horizontal="center"/>
      <protection locked="0"/>
    </xf>
    <xf numFmtId="164" fontId="0" fillId="9" borderId="38" xfId="0" applyNumberFormat="1" applyFill="1" applyBorder="1" applyAlignment="1" applyProtection="1">
      <alignment horizontal="center"/>
      <protection locked="0"/>
    </xf>
    <xf numFmtId="164" fontId="0" fillId="9" borderId="20" xfId="0" applyNumberFormat="1" applyFill="1" applyBorder="1" applyAlignment="1" applyProtection="1">
      <alignment horizontal="center"/>
      <protection locked="0"/>
    </xf>
    <xf numFmtId="164" fontId="0" fillId="9" borderId="39" xfId="0" applyNumberFormat="1" applyFill="1" applyBorder="1" applyAlignment="1" applyProtection="1">
      <alignment horizontal="center"/>
      <protection locked="0"/>
    </xf>
    <xf numFmtId="164" fontId="0" fillId="9" borderId="21" xfId="0" applyNumberFormat="1" applyFill="1" applyBorder="1" applyAlignment="1" applyProtection="1">
      <alignment horizontal="center"/>
      <protection locked="0"/>
    </xf>
    <xf numFmtId="164" fontId="0" fillId="8" borderId="44" xfId="0" applyNumberFormat="1" applyFill="1" applyBorder="1" applyAlignment="1" applyProtection="1">
      <alignment horizontal="center"/>
      <protection locked="0"/>
    </xf>
    <xf numFmtId="164" fontId="0" fillId="8" borderId="27" xfId="0" applyNumberFormat="1" applyFill="1" applyBorder="1" applyAlignment="1" applyProtection="1">
      <alignment horizontal="center"/>
      <protection locked="0"/>
    </xf>
    <xf numFmtId="164" fontId="0" fillId="8" borderId="28" xfId="0" applyNumberFormat="1" applyFill="1" applyBorder="1" applyAlignment="1" applyProtection="1">
      <alignment horizontal="center"/>
      <protection locked="0"/>
    </xf>
    <xf numFmtId="0" fontId="1" fillId="6" borderId="18" xfId="0" applyFont="1" applyFill="1" applyBorder="1"/>
    <xf numFmtId="0" fontId="0" fillId="0" borderId="5" xfId="0" applyFill="1" applyBorder="1" applyAlignment="1" applyProtection="1">
      <alignment horizontal="center" vertical="center"/>
    </xf>
    <xf numFmtId="0" fontId="0" fillId="0" borderId="7" xfId="0" applyFill="1" applyBorder="1" applyAlignment="1" applyProtection="1">
      <alignment horizontal="center" vertical="center"/>
    </xf>
    <xf numFmtId="0" fontId="0" fillId="0" borderId="14" xfId="0" applyFill="1" applyBorder="1" applyAlignment="1" applyProtection="1">
      <alignment horizontal="center" vertical="center"/>
    </xf>
    <xf numFmtId="0" fontId="0" fillId="0" borderId="1" xfId="0" applyFill="1" applyBorder="1" applyAlignment="1" applyProtection="1">
      <alignment horizontal="center" vertical="center"/>
    </xf>
    <xf numFmtId="0" fontId="1" fillId="0" borderId="8" xfId="0" applyFont="1" applyFill="1" applyBorder="1" applyAlignment="1">
      <alignment horizontal="center"/>
    </xf>
    <xf numFmtId="0" fontId="1" fillId="0" borderId="2" xfId="0" applyFont="1" applyFill="1" applyBorder="1" applyAlignment="1">
      <alignment horizontal="center"/>
    </xf>
    <xf numFmtId="0" fontId="15" fillId="0" borderId="5" xfId="0" applyFont="1" applyBorder="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4" fillId="0" borderId="5" xfId="0" applyFont="1" applyBorder="1" applyAlignment="1">
      <alignment horizontal="center" vertical="center"/>
    </xf>
    <xf numFmtId="0" fontId="14" fillId="0" borderId="6" xfId="0" applyFont="1" applyBorder="1" applyAlignment="1">
      <alignment horizontal="center" vertical="center"/>
    </xf>
    <xf numFmtId="0" fontId="14" fillId="0" borderId="7" xfId="0" applyFont="1" applyBorder="1" applyAlignment="1">
      <alignment horizontal="center" vertical="center"/>
    </xf>
    <xf numFmtId="0" fontId="14" fillId="0" borderId="8" xfId="0" applyFont="1" applyBorder="1" applyAlignment="1">
      <alignment horizontal="center"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0" fillId="4" borderId="10" xfId="0" applyFill="1" applyBorder="1" applyAlignment="1">
      <alignment horizontal="center"/>
    </xf>
    <xf numFmtId="0" fontId="0" fillId="4" borderId="11" xfId="0" applyFill="1" applyBorder="1" applyAlignment="1">
      <alignment horizontal="center"/>
    </xf>
    <xf numFmtId="0" fontId="0" fillId="0" borderId="6" xfId="0" applyBorder="1" applyAlignment="1">
      <alignment horizontal="left"/>
    </xf>
    <xf numFmtId="0" fontId="0" fillId="0" borderId="7" xfId="0" applyBorder="1" applyAlignment="1">
      <alignment horizontal="left"/>
    </xf>
    <xf numFmtId="0" fontId="0" fillId="0" borderId="0" xfId="0" applyBorder="1" applyAlignment="1">
      <alignment horizontal="left"/>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15" fillId="3" borderId="5" xfId="0" applyFont="1" applyFill="1" applyBorder="1" applyAlignment="1">
      <alignment horizontal="center"/>
    </xf>
    <xf numFmtId="0" fontId="15" fillId="3" borderId="6" xfId="0" applyFont="1" applyFill="1" applyBorder="1" applyAlignment="1">
      <alignment horizontal="center"/>
    </xf>
    <xf numFmtId="0" fontId="15" fillId="3" borderId="7" xfId="0" applyFont="1" applyFill="1" applyBorder="1" applyAlignment="1">
      <alignment horizontal="center"/>
    </xf>
    <xf numFmtId="0" fontId="15" fillId="3" borderId="8" xfId="0" applyFont="1" applyFill="1" applyBorder="1" applyAlignment="1">
      <alignment horizontal="center"/>
    </xf>
    <xf numFmtId="0" fontId="15" fillId="3" borderId="2" xfId="0" applyFont="1" applyFill="1" applyBorder="1" applyAlignment="1">
      <alignment horizontal="center"/>
    </xf>
    <xf numFmtId="0" fontId="15" fillId="3" borderId="0" xfId="0" applyFont="1" applyFill="1" applyBorder="1" applyAlignment="1">
      <alignment horizontal="center"/>
    </xf>
    <xf numFmtId="0" fontId="15" fillId="3" borderId="1" xfId="0" applyFont="1" applyFill="1" applyBorder="1" applyAlignment="1">
      <alignment horizontal="center"/>
    </xf>
    <xf numFmtId="0" fontId="14" fillId="5" borderId="5" xfId="0" applyFont="1" applyFill="1" applyBorder="1" applyAlignment="1">
      <alignment horizontal="center"/>
    </xf>
    <xf numFmtId="0" fontId="14" fillId="5" borderId="6" xfId="0" applyFont="1" applyFill="1" applyBorder="1" applyAlignment="1">
      <alignment horizontal="center"/>
    </xf>
    <xf numFmtId="0" fontId="14" fillId="5" borderId="7" xfId="0" applyFont="1" applyFill="1" applyBorder="1" applyAlignment="1">
      <alignment horizontal="center"/>
    </xf>
    <xf numFmtId="0" fontId="14" fillId="5" borderId="8" xfId="0" applyFont="1" applyFill="1" applyBorder="1" applyAlignment="1">
      <alignment horizontal="center"/>
    </xf>
    <xf numFmtId="0" fontId="14" fillId="5" borderId="2" xfId="0" applyFont="1" applyFill="1" applyBorder="1" applyAlignment="1">
      <alignment horizontal="center"/>
    </xf>
    <xf numFmtId="0" fontId="14" fillId="5" borderId="0" xfId="0" applyFont="1" applyFill="1" applyBorder="1" applyAlignment="1">
      <alignment horizontal="center"/>
    </xf>
    <xf numFmtId="0" fontId="14" fillId="5" borderId="3" xfId="0" applyFont="1" applyFill="1"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4" borderId="2" xfId="0" applyFill="1" applyBorder="1" applyAlignment="1">
      <alignment horizontal="center"/>
    </xf>
  </cellXfs>
  <cellStyles count="4">
    <cellStyle name="Normal" xfId="0" builtinId="0"/>
    <cellStyle name="Normal 2" xfId="1"/>
    <cellStyle name="Normal 3" xfId="2"/>
    <cellStyle name="Percent" xfId="3" builtinId="5"/>
  </cellStyles>
  <dxfs count="28">
    <dxf>
      <font>
        <b val="0"/>
        <i val="0"/>
        <strike val="0"/>
        <condense val="0"/>
        <extend val="0"/>
        <outline val="0"/>
        <shadow val="0"/>
        <u val="none"/>
        <vertAlign val="baseline"/>
        <sz val="11"/>
        <color auto="1"/>
        <name val="Calibri"/>
        <scheme val="minor"/>
      </font>
      <fill>
        <patternFill patternType="none">
          <fgColor indexed="64"/>
          <bgColor indexed="65"/>
        </patternFill>
      </fill>
    </dxf>
    <dxf>
      <fill>
        <patternFill patternType="none">
          <fgColor indexed="64"/>
          <bgColor indexed="65"/>
        </patternFill>
      </fill>
      <protection locked="0" hidden="1"/>
    </dxf>
    <dxf>
      <font>
        <b val="0"/>
        <i val="0"/>
        <strike val="0"/>
        <condense val="0"/>
        <extend val="0"/>
        <outline val="0"/>
        <shadow val="0"/>
        <u val="none"/>
        <vertAlign val="baseline"/>
        <sz val="11"/>
        <color auto="1"/>
        <name val="Calibri"/>
        <scheme val="minor"/>
      </font>
      <fill>
        <patternFill patternType="none">
          <fgColor indexed="64"/>
          <bgColor indexed="65"/>
        </patternFill>
      </fill>
    </dxf>
    <dxf>
      <fill>
        <patternFill patternType="none">
          <fgColor indexed="64"/>
          <bgColor indexed="65"/>
        </patternFill>
      </fill>
      <protection locked="0" hidden="1"/>
    </dxf>
    <dxf>
      <font>
        <b val="0"/>
        <i val="0"/>
        <strike val="0"/>
        <condense val="0"/>
        <extend val="0"/>
        <outline val="0"/>
        <shadow val="0"/>
        <u val="none"/>
        <vertAlign val="baseline"/>
        <sz val="11"/>
        <color auto="1"/>
        <name val="Calibri"/>
        <scheme val="minor"/>
      </font>
      <fill>
        <patternFill patternType="none">
          <fgColor indexed="64"/>
          <bgColor indexed="65"/>
        </patternFill>
      </fill>
    </dxf>
    <dxf>
      <fill>
        <patternFill patternType="none">
          <fgColor indexed="64"/>
          <bgColor indexed="65"/>
        </patternFill>
      </fill>
      <border outline="0">
        <left style="medium">
          <color indexed="64"/>
        </left>
      </border>
      <protection locked="0" hidden="1"/>
    </dxf>
    <dxf>
      <fill>
        <patternFill patternType="none">
          <fgColor indexed="64"/>
          <bgColor indexed="65"/>
        </patternFill>
      </fill>
    </dxf>
    <dxf>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medium">
          <color indexed="64"/>
        </left>
        <right style="medium">
          <color indexed="64"/>
        </right>
        <top style="medium">
          <color auto="1"/>
        </top>
        <bottom style="medium">
          <color auto="1"/>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thin">
          <color indexed="64"/>
        </left>
        <right style="medium">
          <color indexed="64"/>
        </right>
        <top style="medium">
          <color auto="1"/>
        </top>
        <bottom style="medium">
          <color auto="1"/>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thin">
          <color indexed="64"/>
        </left>
        <right style="medium">
          <color indexed="64"/>
        </right>
        <top style="medium">
          <color auto="1"/>
        </top>
        <bottom style="medium">
          <color auto="1"/>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medium">
          <color indexed="64"/>
        </left>
        <right style="medium">
          <color indexed="64"/>
        </right>
        <top/>
        <bottom/>
      </border>
      <protection locked="0" hidden="0"/>
    </dxf>
    <dxf>
      <font>
        <b val="0"/>
        <i val="0"/>
        <strike val="0"/>
        <condense val="0"/>
        <extend val="0"/>
        <outline val="0"/>
        <shadow val="0"/>
        <u val="none"/>
        <vertAlign val="baseline"/>
        <sz val="11"/>
        <color auto="1"/>
        <name val="Calibri"/>
        <scheme val="minor"/>
      </font>
      <numFmt numFmtId="166"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thin">
          <color indexed="64"/>
        </left>
        <right style="medium">
          <color indexed="64"/>
        </right>
        <top style="medium">
          <color auto="1"/>
        </top>
        <bottom style="medium">
          <color auto="1"/>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thin">
          <color indexed="64"/>
        </left>
        <right/>
        <top style="medium">
          <color auto="1"/>
        </top>
        <bottom style="medium">
          <color auto="1"/>
        </bottom>
      </border>
      <protection locked="0" hidden="0"/>
    </dxf>
    <dxf>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medium">
          <color indexed="64"/>
        </left>
        <right style="thin">
          <color indexed="64"/>
        </right>
        <top style="medium">
          <color auto="1"/>
        </top>
        <bottom style="medium">
          <color auto="1"/>
        </bottom>
      </border>
      <protection locked="0" hidden="0"/>
    </dxf>
    <dxf>
      <numFmt numFmtId="164"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right style="medium">
          <color indexed="64"/>
        </right>
        <top/>
        <bottom/>
      </border>
      <protection locked="0" hidden="0"/>
    </dxf>
    <dxf>
      <numFmt numFmtId="166" formatCode="0.0%"/>
      <fill>
        <patternFill patternType="none">
          <fgColor indexed="64"/>
          <bgColor indexed="65"/>
        </patternFill>
      </fill>
      <alignment horizontal="center" vertical="bottom" textRotation="0" wrapText="0" indent="0" relativeIndent="255" justifyLastLine="0" shrinkToFit="0" readingOrder="0"/>
      <border diagonalUp="0" diagonalDown="0" outline="0">
        <left style="medium">
          <color indexed="64"/>
        </left>
        <right/>
        <top/>
        <bottom/>
      </border>
      <protection locked="0" hidden="0"/>
    </dxf>
    <dxf>
      <fill>
        <patternFill patternType="none">
          <fgColor indexed="64"/>
          <bgColor indexed="65"/>
        </patternFill>
      </fill>
      <border diagonalUp="0" diagonalDown="0" outline="0">
        <left style="thin">
          <color indexed="64"/>
        </left>
        <right/>
        <top/>
        <bottom/>
      </border>
    </dxf>
    <dxf>
      <fill>
        <patternFill patternType="none">
          <fgColor indexed="64"/>
          <bgColor indexed="65"/>
        </patternFill>
      </fill>
      <alignment horizontal="center" vertical="bottom" textRotation="0" wrapText="0" indent="0" relativeIndent="255" justifyLastLine="0" shrinkToFit="0" readingOrder="0"/>
      <border diagonalUp="0" diagonalDown="0" outline="0">
        <right style="medium">
          <color indexed="64"/>
        </right>
        <top/>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right style="thin">
          <color indexed="64"/>
        </right>
        <top/>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relativeIndent="255" justifyLastLine="0" shrinkToFit="0" readingOrder="0"/>
      <protection locked="0" hidden="0"/>
    </dxf>
    <dxf>
      <border outline="0">
        <left style="medium">
          <color indexed="64"/>
        </left>
      </border>
    </dxf>
    <dxf>
      <border>
        <bottom style="medium">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relativeIndent="255" justifyLastLine="0" shrinkToFit="0" readingOrder="0"/>
      <protection locked="1" hidden="0"/>
    </dxf>
  </dxfs>
  <tableStyles count="0" defaultTableStyle="TableStyleMedium2" defaultPivotStyle="PivotStyleLight16"/>
  <colors>
    <mruColors>
      <color rgb="FFCDEAFF"/>
      <color rgb="FFFFBDBD"/>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19049</xdr:colOff>
      <xdr:row>0</xdr:row>
      <xdr:rowOff>9524</xdr:rowOff>
    </xdr:from>
    <xdr:to>
      <xdr:col>17</xdr:col>
      <xdr:colOff>19050</xdr:colOff>
      <xdr:row>78</xdr:row>
      <xdr:rowOff>38100</xdr:rowOff>
    </xdr:to>
    <xdr:sp macro="" textlink="">
      <xdr:nvSpPr>
        <xdr:cNvPr id="2" name="TextBox 1"/>
        <xdr:cNvSpPr txBox="1"/>
      </xdr:nvSpPr>
      <xdr:spPr>
        <a:xfrm>
          <a:off x="19049" y="9524"/>
          <a:ext cx="10363201" cy="14887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a:solidFill>
                <a:schemeClr val="dk1"/>
              </a:solidFill>
              <a:latin typeface="+mn-lt"/>
              <a:ea typeface="+mn-ea"/>
              <a:cs typeface="+mn-cs"/>
            </a:rPr>
            <a:t>FIRST Team 1732: Hilltopper Robotics Two-Person Scouting System</a:t>
          </a:r>
        </a:p>
        <a:p>
          <a:r>
            <a:rPr lang="en-US" sz="1100">
              <a:solidFill>
                <a:schemeClr val="dk1"/>
              </a:solidFill>
              <a:latin typeface="+mn-lt"/>
              <a:ea typeface="+mn-ea"/>
              <a:cs typeface="+mn-cs"/>
            </a:rPr>
            <a:t>This scouting system is intended to collect basic match data using only two scouts, printed out scouting sheets and a laptop with excel.  It is highly recommended to employ additional scouts to watch subjective information (defense, driving ability, passing ability).  If you run into any issues or have suggestions to improve it, please do not hesitate to contact Strategy@Team1732.com .</a:t>
          </a:r>
        </a:p>
        <a:p>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ctr"/>
          <a:r>
            <a:rPr lang="en-US" sz="1100" b="1">
              <a:solidFill>
                <a:schemeClr val="dk1"/>
              </a:solidFill>
              <a:latin typeface="+mn-lt"/>
              <a:ea typeface="+mn-ea"/>
              <a:cs typeface="+mn-cs"/>
            </a:rPr>
            <a:t>Scouting Sheets</a:t>
          </a:r>
          <a:endParaRPr lang="en-US" sz="1100">
            <a:solidFill>
              <a:schemeClr val="dk1"/>
            </a:solidFill>
            <a:latin typeface="+mn-lt"/>
            <a:ea typeface="+mn-ea"/>
            <a:cs typeface="+mn-cs"/>
          </a:endParaRPr>
        </a:p>
        <a:p>
          <a:r>
            <a:rPr lang="en-US" sz="1100">
              <a:solidFill>
                <a:schemeClr val="dk1"/>
              </a:solidFill>
              <a:latin typeface="+mn-lt"/>
              <a:ea typeface="+mn-ea"/>
              <a:cs typeface="+mn-cs"/>
            </a:rPr>
            <a:t>The scouting sheet (located in the “Scouting Sheet” tab), should be printed out before the event (2 per match).  It is recommended to print out one sheet, manually write in the key and then make a couple hundred copies of that page.</a:t>
          </a:r>
        </a:p>
        <a:p>
          <a:endParaRPr lang="en-US" sz="1100">
            <a:solidFill>
              <a:schemeClr val="dk1"/>
            </a:solidFill>
            <a:latin typeface="+mn-lt"/>
            <a:ea typeface="+mn-ea"/>
            <a:cs typeface="+mn-cs"/>
          </a:endParaRPr>
        </a:p>
        <a:p>
          <a:r>
            <a:rPr lang="en-US" sz="1100">
              <a:solidFill>
                <a:schemeClr val="dk1"/>
              </a:solidFill>
              <a:latin typeface="+mn-lt"/>
              <a:ea typeface="+mn-ea"/>
              <a:cs typeface="+mn-cs"/>
            </a:rPr>
            <a:t>This sheet gets filled out during the match by the two scouts with one sheet per alliance.  The autonomous box (top left corner) get filled out during autonomous and then teleoperated get filled out on the lines below that.  In teleoperated, the actions of the match run down the rows of the sheet; one action</a:t>
          </a:r>
          <a:r>
            <a:rPr lang="en-US" sz="1100" baseline="0">
              <a:solidFill>
                <a:schemeClr val="dk1"/>
              </a:solidFill>
              <a:latin typeface="+mn-lt"/>
              <a:ea typeface="+mn-ea"/>
              <a:cs typeface="+mn-cs"/>
            </a:rPr>
            <a:t> per row</a:t>
          </a:r>
          <a:r>
            <a:rPr lang="en-US" sz="1100">
              <a:solidFill>
                <a:schemeClr val="dk1"/>
              </a:solidFill>
              <a:latin typeface="+mn-lt"/>
              <a:ea typeface="+mn-ea"/>
              <a:cs typeface="+mn-cs"/>
            </a:rPr>
            <a:t>.  For example, if the team in column B starts the cycle by catching a pass from the human player, then in cell B9, put the symbol for Human Player Load (we use “H”).  If they pass the ball to Team C, put they possession symbol in cell C10 (we use “O”).  If they then do a truss pass, put the truss pass symbol in cell C11 (we use an upside down “U”).  After the match, count up the totals and place those in the table on the bottom left corner.  Then, enter the totals into the excel database.</a:t>
          </a:r>
        </a:p>
        <a:p>
          <a:endParaRPr lang="en-US" sz="1100">
            <a:solidFill>
              <a:schemeClr val="dk1"/>
            </a:solidFill>
            <a:latin typeface="+mn-lt"/>
            <a:ea typeface="+mn-ea"/>
            <a:cs typeface="+mn-cs"/>
          </a:endParaRPr>
        </a:p>
        <a:p>
          <a:r>
            <a:rPr lang="en-US" sz="1100">
              <a:solidFill>
                <a:schemeClr val="dk1"/>
              </a:solidFill>
              <a:latin typeface="+mn-lt"/>
              <a:ea typeface="+mn-ea"/>
              <a:cs typeface="+mn-cs"/>
            </a:rPr>
            <a:t>Here is a glossary of some of the non-obvious terms on the scouting sheet:</a:t>
          </a:r>
        </a:p>
        <a:p>
          <a:r>
            <a:rPr lang="en-US" sz="1100" i="1">
              <a:solidFill>
                <a:schemeClr val="dk1"/>
              </a:solidFill>
              <a:latin typeface="+mn-lt"/>
              <a:ea typeface="+mn-ea"/>
              <a:cs typeface="+mn-cs"/>
            </a:rPr>
            <a:t>Balls Attempted: </a:t>
          </a:r>
          <a:r>
            <a:rPr lang="en-US" sz="1100">
              <a:solidFill>
                <a:schemeClr val="dk1"/>
              </a:solidFill>
              <a:latin typeface="+mn-lt"/>
              <a:ea typeface="+mn-ea"/>
              <a:cs typeface="+mn-cs"/>
            </a:rPr>
            <a:t>The number of balls a team attempts to score in autonomous.</a:t>
          </a:r>
        </a:p>
        <a:p>
          <a:r>
            <a:rPr lang="en-US" sz="1100" i="1">
              <a:solidFill>
                <a:schemeClr val="dk1"/>
              </a:solidFill>
              <a:latin typeface="+mn-lt"/>
              <a:ea typeface="+mn-ea"/>
              <a:cs typeface="+mn-cs"/>
            </a:rPr>
            <a:t>Balls Not Scored: </a:t>
          </a:r>
          <a:r>
            <a:rPr lang="en-US" sz="1100">
              <a:solidFill>
                <a:schemeClr val="dk1"/>
              </a:solidFill>
              <a:latin typeface="+mn-lt"/>
              <a:ea typeface="+mn-ea"/>
              <a:cs typeface="+mn-cs"/>
            </a:rPr>
            <a:t>This is NOT the same as ‘shots missed’ as it includes teams that start with a ball (or 2 or 3) and do not shoot and score it/them. </a:t>
          </a:r>
        </a:p>
        <a:p>
          <a:r>
            <a:rPr lang="en-US" sz="1100" i="1">
              <a:solidFill>
                <a:schemeClr val="dk1"/>
              </a:solidFill>
              <a:latin typeface="+mn-lt"/>
              <a:ea typeface="+mn-ea"/>
              <a:cs typeface="+mn-cs"/>
            </a:rPr>
            <a:t>Human Player (HP) Loads: </a:t>
          </a:r>
          <a:r>
            <a:rPr lang="en-US" sz="1100">
              <a:solidFill>
                <a:schemeClr val="dk1"/>
              </a:solidFill>
              <a:latin typeface="+mn-lt"/>
              <a:ea typeface="+mn-ea"/>
              <a:cs typeface="+mn-cs"/>
            </a:rPr>
            <a:t>When a robot receives a pass directly from the human player and never loses possession of it in the process.</a:t>
          </a:r>
        </a:p>
        <a:p>
          <a:r>
            <a:rPr lang="en-US" sz="1100" i="1">
              <a:solidFill>
                <a:schemeClr val="dk1"/>
              </a:solidFill>
              <a:latin typeface="+mn-lt"/>
              <a:ea typeface="+mn-ea"/>
              <a:cs typeface="+mn-cs"/>
            </a:rPr>
            <a:t>Possessions: </a:t>
          </a:r>
          <a:r>
            <a:rPr lang="en-US" sz="1100">
              <a:solidFill>
                <a:schemeClr val="dk1"/>
              </a:solidFill>
              <a:latin typeface="+mn-lt"/>
              <a:ea typeface="+mn-ea"/>
              <a:cs typeface="+mn-cs"/>
            </a:rPr>
            <a:t>As defined in the rule manual.  This does not incorporate specific zones needed for assist points.  Do not forget to include Human Player Loads and Truss Catches.</a:t>
          </a:r>
        </a:p>
        <a:p>
          <a:r>
            <a:rPr lang="en-US" sz="1100" i="1">
              <a:solidFill>
                <a:schemeClr val="dk1"/>
              </a:solidFill>
              <a:latin typeface="+mn-lt"/>
              <a:ea typeface="+mn-ea"/>
              <a:cs typeface="+mn-cs"/>
            </a:rPr>
            <a:t>Possessions Lost: </a:t>
          </a:r>
          <a:r>
            <a:rPr lang="en-US" sz="1100">
              <a:solidFill>
                <a:schemeClr val="dk1"/>
              </a:solidFill>
              <a:latin typeface="+mn-lt"/>
              <a:ea typeface="+mn-ea"/>
              <a:cs typeface="+mn-cs"/>
            </a:rPr>
            <a:t>Anytime a team has possession of ball and unintentionally loses possession of it. </a:t>
          </a:r>
        </a:p>
        <a:p>
          <a:endParaRPr lang="en-US" sz="1100">
            <a:solidFill>
              <a:schemeClr val="dk1"/>
            </a:solidFill>
            <a:latin typeface="+mn-lt"/>
            <a:ea typeface="+mn-ea"/>
            <a:cs typeface="+mn-cs"/>
          </a:endParaRPr>
        </a:p>
        <a:p>
          <a:pPr algn="ctr"/>
          <a:r>
            <a:rPr lang="en-US" sz="1100" b="1">
              <a:solidFill>
                <a:schemeClr val="dk1"/>
              </a:solidFill>
              <a:latin typeface="+mn-lt"/>
              <a:ea typeface="+mn-ea"/>
              <a:cs typeface="+mn-cs"/>
            </a:rPr>
            <a:t>Scouting Database</a:t>
          </a:r>
          <a:endParaRPr lang="en-US" sz="1100">
            <a:solidFill>
              <a:schemeClr val="dk1"/>
            </a:solidFill>
            <a:latin typeface="+mn-lt"/>
            <a:ea typeface="+mn-ea"/>
            <a:cs typeface="+mn-cs"/>
          </a:endParaRPr>
        </a:p>
        <a:p>
          <a:r>
            <a:rPr lang="en-US" sz="1100">
              <a:solidFill>
                <a:schemeClr val="dk1"/>
              </a:solidFill>
              <a:latin typeface="+mn-lt"/>
              <a:ea typeface="+mn-ea"/>
              <a:cs typeface="+mn-cs"/>
            </a:rPr>
            <a:t>Before matches start on Friday, some setup is required.  In the “Setup” tab, enter the number of teams and number of matches </a:t>
          </a:r>
          <a:r>
            <a:rPr lang="en-US" sz="1100" b="0">
              <a:solidFill>
                <a:schemeClr val="dk1"/>
              </a:solidFill>
              <a:latin typeface="+mn-lt"/>
              <a:ea typeface="+mn-ea"/>
              <a:cs typeface="+mn-cs"/>
            </a:rPr>
            <a:t>(</a:t>
          </a:r>
          <a:r>
            <a:rPr lang="en-US" sz="1100" b="1">
              <a:solidFill>
                <a:schemeClr val="dk1"/>
              </a:solidFill>
              <a:latin typeface="+mn-lt"/>
              <a:ea typeface="+mn-ea"/>
              <a:cs typeface="+mn-cs"/>
            </a:rPr>
            <a:t>Required</a:t>
          </a:r>
          <a:r>
            <a:rPr lang="en-US" sz="1100" b="0">
              <a:solidFill>
                <a:schemeClr val="dk1"/>
              </a:solidFill>
              <a:latin typeface="+mn-lt"/>
              <a:ea typeface="+mn-ea"/>
              <a:cs typeface="+mn-cs"/>
            </a:rPr>
            <a:t>).</a:t>
          </a:r>
          <a:r>
            <a:rPr lang="en-US" sz="1100">
              <a:solidFill>
                <a:schemeClr val="dk1"/>
              </a:solidFill>
              <a:latin typeface="+mn-lt"/>
              <a:ea typeface="+mn-ea"/>
              <a:cs typeface="+mn-cs"/>
            </a:rPr>
            <a:t>  If you have entered a schedule in the “Schedule” page (which is recommended), enter a 1 in B5.  The list of teams </a:t>
          </a:r>
          <a:r>
            <a:rPr lang="en-US" sz="1100" b="1">
              <a:solidFill>
                <a:schemeClr val="dk1"/>
              </a:solidFill>
              <a:latin typeface="+mn-lt"/>
              <a:ea typeface="+mn-ea"/>
              <a:cs typeface="+mn-cs"/>
            </a:rPr>
            <a:t>must</a:t>
          </a:r>
          <a:r>
            <a:rPr lang="en-US" sz="1100">
              <a:solidFill>
                <a:schemeClr val="dk1"/>
              </a:solidFill>
              <a:latin typeface="+mn-lt"/>
              <a:ea typeface="+mn-ea"/>
              <a:cs typeface="+mn-cs"/>
            </a:rPr>
            <a:t> be entered into the “Stats” page in column A.  This information is typically posted on FIRST’s website on Thursday evening/night and can be copied-pasted into the database.  </a:t>
          </a:r>
        </a:p>
        <a:p>
          <a:endParaRPr lang="en-US" sz="1100">
            <a:solidFill>
              <a:schemeClr val="dk1"/>
            </a:solidFill>
            <a:latin typeface="+mn-lt"/>
            <a:ea typeface="+mn-ea"/>
            <a:cs typeface="+mn-cs"/>
          </a:endParaRPr>
        </a:p>
        <a:p>
          <a:r>
            <a:rPr lang="en-US" sz="1100">
              <a:solidFill>
                <a:schemeClr val="dk1"/>
              </a:solidFill>
              <a:latin typeface="+mn-lt"/>
              <a:ea typeface="+mn-ea"/>
              <a:cs typeface="+mn-cs"/>
            </a:rPr>
            <a:t>During the event, the data from the scouting sheets is entered into the “Input "</a:t>
          </a:r>
          <a:r>
            <a:rPr lang="en-US" sz="1100" baseline="0">
              <a:solidFill>
                <a:schemeClr val="dk1"/>
              </a:solidFill>
              <a:latin typeface="+mn-lt"/>
              <a:ea typeface="+mn-ea"/>
              <a:cs typeface="+mn-cs"/>
            </a:rPr>
            <a:t> tab</a:t>
          </a:r>
          <a:r>
            <a:rPr lang="en-US" sz="1100">
              <a:solidFill>
                <a:schemeClr val="dk1"/>
              </a:solidFill>
              <a:latin typeface="+mn-lt"/>
              <a:ea typeface="+mn-ea"/>
              <a:cs typeface="+mn-cs"/>
            </a:rPr>
            <a:t>.  To open a match, type in the match number (B1) and click “Open”.  If you have entered a schedule, the team numbers will appear.  A blank cell is treated as a “0”.  If at team did not show for their match, remove their team number from row 3.  Once all the data is entered, click submit and the next match will automatically open.  </a:t>
          </a:r>
        </a:p>
        <a:p>
          <a:endParaRPr lang="en-US" sz="1100">
            <a:solidFill>
              <a:schemeClr val="dk1"/>
            </a:solidFill>
            <a:latin typeface="+mn-lt"/>
            <a:ea typeface="+mn-ea"/>
            <a:cs typeface="+mn-cs"/>
          </a:endParaRPr>
        </a:p>
        <a:p>
          <a:r>
            <a:rPr lang="en-US" sz="1100">
              <a:solidFill>
                <a:schemeClr val="dk1"/>
              </a:solidFill>
              <a:latin typeface="+mn-lt"/>
              <a:ea typeface="+mn-ea"/>
              <a:cs typeface="+mn-cs"/>
            </a:rPr>
            <a:t>Once you want to view the statistics, open the “Stats” tab and click “Update Stats”.  This will provide sortable columns for the stats.  If you wish to see a team’s match by match progression, click on the “Team Lookup” tab.  Enter their team number in B1 and click “Look-up”.  This will show their averages, rank in each stat as well as what they did in each match.  Note: it is necessary to update the “Stats” page before using the “Team Lookup”.  </a:t>
          </a:r>
        </a:p>
        <a:p>
          <a:endParaRPr lang="en-US" sz="1100">
            <a:solidFill>
              <a:schemeClr val="dk1"/>
            </a:solidFill>
            <a:latin typeface="+mn-lt"/>
            <a:ea typeface="+mn-ea"/>
            <a:cs typeface="+mn-cs"/>
          </a:endParaRPr>
        </a:p>
        <a:p>
          <a:r>
            <a:rPr lang="en-US" sz="1100">
              <a:solidFill>
                <a:schemeClr val="dk1"/>
              </a:solidFill>
              <a:latin typeface="+mn-lt"/>
              <a:ea typeface="+mn-ea"/>
              <a:cs typeface="+mn-cs"/>
            </a:rPr>
            <a:t>Here is a glossary of some of the non-obvious statistics:</a:t>
          </a:r>
        </a:p>
        <a:p>
          <a:r>
            <a:rPr lang="en-US" sz="1100" i="1">
              <a:solidFill>
                <a:schemeClr val="dk1"/>
              </a:solidFill>
              <a:latin typeface="+mn-lt"/>
              <a:ea typeface="+mn-ea"/>
              <a:cs typeface="+mn-cs"/>
            </a:rPr>
            <a:t>% Time Ball Scored: </a:t>
          </a:r>
          <a:r>
            <a:rPr lang="en-US" sz="1100">
              <a:solidFill>
                <a:schemeClr val="dk1"/>
              </a:solidFill>
              <a:latin typeface="+mn-lt"/>
              <a:ea typeface="+mn-ea"/>
              <a:cs typeface="+mn-cs"/>
            </a:rPr>
            <a:t>The percent of time a team scores their ball(s) in autonomous mode.  If a team intends to score two balls but only shoots (and makes) the first ball, their % Time Ball Scored would be 50%.  If a team doesn’t start with a ball their first match but scored their only ball their second match, their % Time Ball Scored would be 100%.  </a:t>
          </a:r>
        </a:p>
        <a:p>
          <a:r>
            <a:rPr lang="en-US" sz="1100" i="1">
              <a:solidFill>
                <a:schemeClr val="dk1"/>
              </a:solidFill>
              <a:latin typeface="+mn-lt"/>
              <a:ea typeface="+mn-ea"/>
              <a:cs typeface="+mn-cs"/>
            </a:rPr>
            <a:t>% Successful Possessions: </a:t>
          </a:r>
          <a:r>
            <a:rPr lang="en-US" sz="1100">
              <a:solidFill>
                <a:schemeClr val="dk1"/>
              </a:solidFill>
              <a:latin typeface="+mn-lt"/>
              <a:ea typeface="+mn-ea"/>
              <a:cs typeface="+mn-cs"/>
            </a:rPr>
            <a:t>Found by subtracting Possessions Lost from Possessions and then dividing by Possessions.  </a:t>
          </a:r>
        </a:p>
        <a:p>
          <a:endParaRPr lang="en-US" sz="1100"/>
        </a:p>
      </xdr:txBody>
    </xdr:sp>
    <xdr:clientData/>
  </xdr:twoCellAnchor>
</xdr:wsDr>
</file>

<file path=xl/tables/table1.xml><?xml version="1.0" encoding="utf-8"?>
<table xmlns="http://schemas.openxmlformats.org/spreadsheetml/2006/main" id="1" name="Table1" displayName="Table1" ref="A1:O124" totalsRowShown="0" headerRowDxfId="27" headerRowBorderDxfId="26" tableBorderDxfId="25">
  <autoFilter ref="A1:O124"/>
  <sortState ref="A2:O124">
    <sortCondition descending="1" ref="L1:L124"/>
  </sortState>
  <tableColumns count="15">
    <tableColumn id="1" name="Team" dataDxfId="24" totalsRowDxfId="23"/>
    <tableColumn id="2" name="Matches Played" dataDxfId="22" totalsRowDxfId="21"/>
    <tableColumn id="17" name="% Time Ball Scored" dataDxfId="20" dataCellStyle="Percent"/>
    <tableColumn id="16" name="Auto Points per Match" dataDxfId="19"/>
    <tableColumn id="15" name="HP Loads per Match" dataDxfId="18"/>
    <tableColumn id="3" name="Possessions per Match" dataDxfId="17" dataCellStyle="Percent"/>
    <tableColumn id="12" name="% Sucessful Posessions" dataDxfId="16" dataCellStyle="Percent"/>
    <tableColumn id="4" name="Truss Pass per Match" dataDxfId="15" totalsRowDxfId="14"/>
    <tableColumn id="5" name="Truss Catch per Match" dataDxfId="13" totalsRowDxfId="12"/>
    <tableColumn id="6" name="10 Point per Match" dataDxfId="11" totalsRowDxfId="10"/>
    <tableColumn id="7" name="10 Point Shooting %" dataDxfId="9" totalsRowDxfId="8" dataCellStyle="Percent"/>
    <tableColumn id="8" name="1 Point per Match" dataDxfId="7" totalsRowDxfId="6"/>
    <tableColumn id="9" name="H1" dataDxfId="5" totalsRowDxfId="4"/>
    <tableColumn id="10" name="H2" dataDxfId="3" totalsRowDxfId="2"/>
    <tableColumn id="11" name="H3" dataDxfId="1" totalsRow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11">
    <tabColor rgb="FFFFFF00"/>
  </sheetPr>
  <dimension ref="A1:G13"/>
  <sheetViews>
    <sheetView workbookViewId="0">
      <selection activeCell="D4" sqref="D4"/>
    </sheetView>
  </sheetViews>
  <sheetFormatPr defaultColWidth="9" defaultRowHeight="15"/>
  <cols>
    <col min="1" max="1" width="15.7109375" style="58" bestFit="1" customWidth="1"/>
    <col min="2" max="16384" width="9" style="58"/>
  </cols>
  <sheetData>
    <row r="1" spans="1:7" ht="21" customHeight="1" thickBot="1">
      <c r="A1" s="64" t="s">
        <v>0</v>
      </c>
      <c r="B1" s="167">
        <v>1</v>
      </c>
    </row>
    <row r="2" spans="1:7" ht="15.75" thickBot="1">
      <c r="A2" s="166"/>
      <c r="B2" s="147" t="s">
        <v>2</v>
      </c>
      <c r="C2" s="148" t="s">
        <v>3</v>
      </c>
      <c r="D2" s="149" t="s">
        <v>4</v>
      </c>
      <c r="E2" s="150" t="s">
        <v>5</v>
      </c>
      <c r="F2" s="151" t="s">
        <v>6</v>
      </c>
      <c r="G2" s="152" t="s">
        <v>7</v>
      </c>
    </row>
    <row r="3" spans="1:7" ht="15.75" thickBot="1">
      <c r="A3" s="170" t="s">
        <v>1</v>
      </c>
      <c r="B3" s="153"/>
      <c r="C3" s="154"/>
      <c r="D3" s="155"/>
      <c r="E3" s="156"/>
      <c r="F3" s="157"/>
      <c r="G3" s="158"/>
    </row>
    <row r="4" spans="1:7">
      <c r="A4" s="171" t="s">
        <v>62</v>
      </c>
      <c r="B4" s="168"/>
      <c r="C4" s="159"/>
      <c r="D4" s="160"/>
      <c r="E4" s="104"/>
      <c r="F4" s="123"/>
      <c r="G4" s="85"/>
    </row>
    <row r="5" spans="1:7" ht="15.75" thickBot="1">
      <c r="A5" s="172" t="s">
        <v>63</v>
      </c>
      <c r="B5" s="62"/>
      <c r="C5" s="122"/>
      <c r="D5" s="84"/>
      <c r="E5" s="106"/>
      <c r="F5" s="125"/>
      <c r="G5" s="87"/>
    </row>
    <row r="6" spans="1:7">
      <c r="A6" s="173" t="s">
        <v>80</v>
      </c>
      <c r="B6" s="168"/>
      <c r="C6" s="159"/>
      <c r="D6" s="160"/>
      <c r="E6" s="104"/>
      <c r="F6" s="123"/>
      <c r="G6" s="85"/>
    </row>
    <row r="7" spans="1:7">
      <c r="A7" s="173" t="s">
        <v>86</v>
      </c>
      <c r="B7" s="61"/>
      <c r="C7" s="121"/>
      <c r="D7" s="83"/>
      <c r="E7" s="105"/>
      <c r="F7" s="124"/>
      <c r="G7" s="86"/>
    </row>
    <row r="8" spans="1:7" ht="15.75" thickBot="1">
      <c r="A8" s="173" t="s">
        <v>85</v>
      </c>
      <c r="B8" s="62"/>
      <c r="C8" s="122"/>
      <c r="D8" s="84"/>
      <c r="E8" s="106"/>
      <c r="F8" s="125"/>
      <c r="G8" s="87"/>
    </row>
    <row r="9" spans="1:7">
      <c r="A9" s="174" t="s">
        <v>61</v>
      </c>
      <c r="B9" s="168"/>
      <c r="C9" s="159"/>
      <c r="D9" s="160"/>
      <c r="E9" s="104"/>
      <c r="F9" s="123"/>
      <c r="G9" s="85"/>
    </row>
    <row r="10" spans="1:7" ht="15.75" thickBot="1">
      <c r="A10" s="174" t="s">
        <v>65</v>
      </c>
      <c r="B10" s="62"/>
      <c r="C10" s="122"/>
      <c r="D10" s="84"/>
      <c r="E10" s="106"/>
      <c r="F10" s="125"/>
      <c r="G10" s="87"/>
    </row>
    <row r="11" spans="1:7">
      <c r="A11" s="175" t="s">
        <v>66</v>
      </c>
      <c r="B11" s="168"/>
      <c r="C11" s="159"/>
      <c r="D11" s="160"/>
      <c r="E11" s="104"/>
      <c r="F11" s="123"/>
      <c r="G11" s="85"/>
    </row>
    <row r="12" spans="1:7" ht="15.75" thickBot="1">
      <c r="A12" s="175" t="s">
        <v>67</v>
      </c>
      <c r="B12" s="62"/>
      <c r="C12" s="122"/>
      <c r="D12" s="84"/>
      <c r="E12" s="106"/>
      <c r="F12" s="125"/>
      <c r="G12" s="87"/>
    </row>
    <row r="13" spans="1:7" ht="15.75" thickBot="1">
      <c r="A13" s="176" t="s">
        <v>68</v>
      </c>
      <c r="B13" s="169"/>
      <c r="C13" s="161"/>
      <c r="D13" s="162"/>
      <c r="E13" s="163"/>
      <c r="F13" s="164"/>
      <c r="G13" s="165"/>
    </row>
  </sheetData>
  <sheetProtection algorithmName="SHA-512" hashValue="9hRN61/CYcvVkqqqeLmqtIsrGxnxcYMJ17pOmWQKoCw7XMaFoF3tQlZQ/2q9enJjeMNwiNesGUpGwPtOnt0xKA==" saltValue="8/VaZmRaaELh0Zut4AMU6w==" spinCount="100000" sheet="1" objects="1" scenarios="1" selectLockedCells="1"/>
  <dataValidations count="1">
    <dataValidation type="whole" operator="greaterThanOrEqual" allowBlank="1" showInputMessage="1" showErrorMessage="1" sqref="B3:G13 A2">
      <formula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3">
    <tabColor rgb="FFFF0000"/>
  </sheetPr>
  <dimension ref="A1:G85"/>
  <sheetViews>
    <sheetView workbookViewId="0">
      <pane xSplit="2" ySplit="1" topLeftCell="C2" activePane="bottomRight" state="frozen"/>
      <selection activeCell="B1" sqref="B1"/>
      <selection pane="topRight" activeCell="B1" sqref="B1"/>
      <selection pane="bottomLeft" activeCell="B1" sqref="B1"/>
      <selection pane="bottomRight" activeCell="B4" sqref="B4:H4"/>
    </sheetView>
  </sheetViews>
  <sheetFormatPr defaultRowHeight="15"/>
  <cols>
    <col min="1" max="1" width="9.140625" style="1"/>
  </cols>
  <sheetData>
    <row r="1" spans="1:7" s="1" customFormat="1">
      <c r="A1" s="1" t="s">
        <v>0</v>
      </c>
      <c r="C1" s="3"/>
      <c r="D1" s="3"/>
      <c r="E1" s="3"/>
      <c r="F1" s="3"/>
      <c r="G1" s="3"/>
    </row>
    <row r="2" spans="1:7">
      <c r="A2" s="1">
        <v>1</v>
      </c>
    </row>
    <row r="3" spans="1:7">
      <c r="A3" s="1">
        <v>2</v>
      </c>
    </row>
    <row r="4" spans="1:7">
      <c r="A4" s="1">
        <v>3</v>
      </c>
    </row>
    <row r="5" spans="1:7">
      <c r="A5" s="1">
        <v>4</v>
      </c>
    </row>
    <row r="6" spans="1:7">
      <c r="A6" s="1">
        <v>5</v>
      </c>
    </row>
    <row r="7" spans="1:7">
      <c r="A7" s="1">
        <v>6</v>
      </c>
    </row>
    <row r="8" spans="1:7">
      <c r="A8" s="1">
        <v>7</v>
      </c>
    </row>
    <row r="9" spans="1:7">
      <c r="A9" s="1">
        <v>8</v>
      </c>
    </row>
    <row r="10" spans="1:7">
      <c r="A10" s="1">
        <v>9</v>
      </c>
    </row>
    <row r="11" spans="1:7">
      <c r="A11" s="1">
        <v>10</v>
      </c>
    </row>
    <row r="12" spans="1:7">
      <c r="A12" s="1">
        <v>11</v>
      </c>
    </row>
    <row r="13" spans="1:7">
      <c r="A13" s="1">
        <v>12</v>
      </c>
    </row>
    <row r="14" spans="1:7">
      <c r="A14" s="1">
        <v>13</v>
      </c>
    </row>
    <row r="15" spans="1:7">
      <c r="A15" s="1">
        <v>14</v>
      </c>
    </row>
    <row r="16" spans="1:7">
      <c r="A16" s="1">
        <v>15</v>
      </c>
    </row>
    <row r="17" spans="1:1">
      <c r="A17" s="1">
        <v>16</v>
      </c>
    </row>
    <row r="18" spans="1:1">
      <c r="A18" s="1">
        <v>17</v>
      </c>
    </row>
    <row r="19" spans="1:1">
      <c r="A19" s="1">
        <v>18</v>
      </c>
    </row>
    <row r="20" spans="1:1">
      <c r="A20" s="1">
        <v>19</v>
      </c>
    </row>
    <row r="21" spans="1:1">
      <c r="A21" s="1">
        <v>20</v>
      </c>
    </row>
    <row r="22" spans="1:1">
      <c r="A22" s="1">
        <v>21</v>
      </c>
    </row>
    <row r="23" spans="1:1">
      <c r="A23" s="1">
        <v>22</v>
      </c>
    </row>
    <row r="24" spans="1:1">
      <c r="A24" s="1">
        <v>23</v>
      </c>
    </row>
    <row r="25" spans="1:1">
      <c r="A25" s="1">
        <v>24</v>
      </c>
    </row>
    <row r="26" spans="1:1">
      <c r="A26" s="1">
        <v>25</v>
      </c>
    </row>
    <row r="27" spans="1:1">
      <c r="A27" s="1">
        <v>26</v>
      </c>
    </row>
    <row r="28" spans="1:1">
      <c r="A28" s="1">
        <v>27</v>
      </c>
    </row>
    <row r="29" spans="1:1">
      <c r="A29" s="1">
        <v>28</v>
      </c>
    </row>
    <row r="30" spans="1:1">
      <c r="A30" s="1">
        <v>29</v>
      </c>
    </row>
    <row r="31" spans="1:1">
      <c r="A31" s="1">
        <v>30</v>
      </c>
    </row>
    <row r="32" spans="1:1">
      <c r="A32" s="1">
        <v>31</v>
      </c>
    </row>
    <row r="33" spans="1:1">
      <c r="A33" s="1">
        <v>32</v>
      </c>
    </row>
    <row r="34" spans="1:1">
      <c r="A34" s="1">
        <v>33</v>
      </c>
    </row>
    <row r="35" spans="1:1">
      <c r="A35" s="1">
        <v>34</v>
      </c>
    </row>
    <row r="36" spans="1:1">
      <c r="A36" s="1">
        <v>35</v>
      </c>
    </row>
    <row r="37" spans="1:1">
      <c r="A37" s="1">
        <v>36</v>
      </c>
    </row>
    <row r="38" spans="1:1">
      <c r="A38" s="1">
        <v>37</v>
      </c>
    </row>
    <row r="39" spans="1:1">
      <c r="A39" s="1">
        <v>38</v>
      </c>
    </row>
    <row r="40" spans="1:1">
      <c r="A40" s="1">
        <v>39</v>
      </c>
    </row>
    <row r="41" spans="1:1">
      <c r="A41" s="1">
        <v>40</v>
      </c>
    </row>
    <row r="42" spans="1:1">
      <c r="A42" s="1">
        <v>41</v>
      </c>
    </row>
    <row r="43" spans="1:1">
      <c r="A43" s="1">
        <v>42</v>
      </c>
    </row>
    <row r="44" spans="1:1">
      <c r="A44" s="1">
        <v>43</v>
      </c>
    </row>
    <row r="45" spans="1:1">
      <c r="A45" s="1">
        <v>44</v>
      </c>
    </row>
    <row r="46" spans="1:1">
      <c r="A46" s="1">
        <v>45</v>
      </c>
    </row>
    <row r="47" spans="1:1">
      <c r="A47" s="1">
        <v>46</v>
      </c>
    </row>
    <row r="48" spans="1:1">
      <c r="A48" s="1">
        <v>47</v>
      </c>
    </row>
    <row r="49" spans="1:1">
      <c r="A49" s="1">
        <v>48</v>
      </c>
    </row>
    <row r="50" spans="1:1">
      <c r="A50" s="1">
        <v>49</v>
      </c>
    </row>
    <row r="51" spans="1:1">
      <c r="A51" s="1">
        <v>50</v>
      </c>
    </row>
    <row r="52" spans="1:1">
      <c r="A52" s="1">
        <v>51</v>
      </c>
    </row>
    <row r="53" spans="1:1">
      <c r="A53" s="1">
        <v>52</v>
      </c>
    </row>
    <row r="54" spans="1:1">
      <c r="A54" s="1">
        <v>53</v>
      </c>
    </row>
    <row r="55" spans="1:1">
      <c r="A55" s="1">
        <v>54</v>
      </c>
    </row>
    <row r="56" spans="1:1">
      <c r="A56" s="1">
        <v>55</v>
      </c>
    </row>
    <row r="57" spans="1:1">
      <c r="A57" s="1">
        <v>56</v>
      </c>
    </row>
    <row r="58" spans="1:1">
      <c r="A58" s="1">
        <v>57</v>
      </c>
    </row>
    <row r="59" spans="1:1">
      <c r="A59" s="1">
        <v>58</v>
      </c>
    </row>
    <row r="60" spans="1:1">
      <c r="A60" s="1">
        <v>59</v>
      </c>
    </row>
    <row r="61" spans="1:1">
      <c r="A61" s="1">
        <v>60</v>
      </c>
    </row>
    <row r="62" spans="1:1">
      <c r="A62" s="1">
        <v>61</v>
      </c>
    </row>
    <row r="63" spans="1:1">
      <c r="A63" s="1">
        <v>62</v>
      </c>
    </row>
    <row r="64" spans="1:1">
      <c r="A64" s="1">
        <v>63</v>
      </c>
    </row>
    <row r="65" spans="1:1">
      <c r="A65" s="1">
        <v>64</v>
      </c>
    </row>
    <row r="66" spans="1:1">
      <c r="A66" s="1">
        <v>65</v>
      </c>
    </row>
    <row r="67" spans="1:1">
      <c r="A67" s="1">
        <v>66</v>
      </c>
    </row>
    <row r="68" spans="1:1">
      <c r="A68" s="1">
        <v>67</v>
      </c>
    </row>
    <row r="69" spans="1:1">
      <c r="A69" s="1">
        <v>68</v>
      </c>
    </row>
    <row r="70" spans="1:1">
      <c r="A70" s="1">
        <v>69</v>
      </c>
    </row>
    <row r="71" spans="1:1">
      <c r="A71" s="1">
        <v>70</v>
      </c>
    </row>
    <row r="72" spans="1:1">
      <c r="A72" s="1">
        <v>71</v>
      </c>
    </row>
    <row r="73" spans="1:1">
      <c r="A73" s="1">
        <v>72</v>
      </c>
    </row>
    <row r="74" spans="1:1">
      <c r="A74" s="1">
        <v>73</v>
      </c>
    </row>
    <row r="75" spans="1:1">
      <c r="A75" s="1">
        <v>74</v>
      </c>
    </row>
    <row r="76" spans="1:1">
      <c r="A76" s="1">
        <v>75</v>
      </c>
    </row>
    <row r="77" spans="1:1">
      <c r="A77" s="1">
        <v>76</v>
      </c>
    </row>
    <row r="78" spans="1:1">
      <c r="A78" s="1">
        <v>77</v>
      </c>
    </row>
    <row r="79" spans="1:1">
      <c r="A79" s="1">
        <v>78</v>
      </c>
    </row>
    <row r="80" spans="1:1">
      <c r="A80" s="1">
        <v>79</v>
      </c>
    </row>
    <row r="81" spans="1:1">
      <c r="A81" s="1">
        <v>80</v>
      </c>
    </row>
    <row r="82" spans="1:1">
      <c r="A82" s="1">
        <v>81</v>
      </c>
    </row>
    <row r="83" spans="1:1">
      <c r="A83" s="1">
        <v>82</v>
      </c>
    </row>
    <row r="84" spans="1:1">
      <c r="A84" s="1">
        <v>83</v>
      </c>
    </row>
    <row r="85" spans="1:1">
      <c r="A85" s="1">
        <v>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tabColor rgb="FFFF0000"/>
  </sheetPr>
  <dimension ref="A1:G85"/>
  <sheetViews>
    <sheetView workbookViewId="0">
      <pane xSplit="2" ySplit="1" topLeftCell="C2" activePane="bottomRight" state="frozen"/>
      <selection activeCell="B1" sqref="B1"/>
      <selection pane="topRight" activeCell="B1" sqref="B1"/>
      <selection pane="bottomLeft" activeCell="B1" sqref="B1"/>
      <selection pane="bottomRight" activeCell="B1" sqref="B1"/>
    </sheetView>
  </sheetViews>
  <sheetFormatPr defaultRowHeight="15"/>
  <cols>
    <col min="1" max="1" width="9.140625" style="1"/>
  </cols>
  <sheetData>
    <row r="1" spans="1:7" s="1" customFormat="1">
      <c r="A1" s="1" t="s">
        <v>0</v>
      </c>
      <c r="C1" s="3"/>
      <c r="D1" s="3"/>
      <c r="E1" s="3"/>
      <c r="F1" s="3"/>
      <c r="G1" s="3"/>
    </row>
    <row r="2" spans="1:7">
      <c r="A2" s="1">
        <v>1</v>
      </c>
    </row>
    <row r="3" spans="1:7">
      <c r="A3" s="1">
        <v>2</v>
      </c>
    </row>
    <row r="4" spans="1:7">
      <c r="A4" s="1">
        <v>3</v>
      </c>
    </row>
    <row r="5" spans="1:7">
      <c r="A5" s="1">
        <v>4</v>
      </c>
    </row>
    <row r="6" spans="1:7">
      <c r="A6" s="1">
        <v>5</v>
      </c>
    </row>
    <row r="7" spans="1:7">
      <c r="A7" s="1">
        <v>6</v>
      </c>
    </row>
    <row r="8" spans="1:7">
      <c r="A8" s="1">
        <v>7</v>
      </c>
    </row>
    <row r="9" spans="1:7">
      <c r="A9" s="1">
        <v>8</v>
      </c>
    </row>
    <row r="10" spans="1:7">
      <c r="A10" s="1">
        <v>9</v>
      </c>
    </row>
    <row r="11" spans="1:7">
      <c r="A11" s="1">
        <v>10</v>
      </c>
    </row>
    <row r="12" spans="1:7">
      <c r="A12" s="1">
        <v>11</v>
      </c>
    </row>
    <row r="13" spans="1:7">
      <c r="A13" s="1">
        <v>12</v>
      </c>
    </row>
    <row r="14" spans="1:7">
      <c r="A14" s="1">
        <v>13</v>
      </c>
    </row>
    <row r="15" spans="1:7">
      <c r="A15" s="1">
        <v>14</v>
      </c>
    </row>
    <row r="16" spans="1:7">
      <c r="A16" s="1">
        <v>15</v>
      </c>
    </row>
    <row r="17" spans="1:1">
      <c r="A17" s="1">
        <v>16</v>
      </c>
    </row>
    <row r="18" spans="1:1">
      <c r="A18" s="1">
        <v>17</v>
      </c>
    </row>
    <row r="19" spans="1:1">
      <c r="A19" s="1">
        <v>18</v>
      </c>
    </row>
    <row r="20" spans="1:1">
      <c r="A20" s="1">
        <v>19</v>
      </c>
    </row>
    <row r="21" spans="1:1">
      <c r="A21" s="1">
        <v>20</v>
      </c>
    </row>
    <row r="22" spans="1:1">
      <c r="A22" s="1">
        <v>21</v>
      </c>
    </row>
    <row r="23" spans="1:1">
      <c r="A23" s="1">
        <v>22</v>
      </c>
    </row>
    <row r="24" spans="1:1">
      <c r="A24" s="1">
        <v>23</v>
      </c>
    </row>
    <row r="25" spans="1:1">
      <c r="A25" s="1">
        <v>24</v>
      </c>
    </row>
    <row r="26" spans="1:1">
      <c r="A26" s="1">
        <v>25</v>
      </c>
    </row>
    <row r="27" spans="1:1">
      <c r="A27" s="1">
        <v>26</v>
      </c>
    </row>
    <row r="28" spans="1:1">
      <c r="A28" s="1">
        <v>27</v>
      </c>
    </row>
    <row r="29" spans="1:1">
      <c r="A29" s="1">
        <v>28</v>
      </c>
    </row>
    <row r="30" spans="1:1">
      <c r="A30" s="1">
        <v>29</v>
      </c>
    </row>
    <row r="31" spans="1:1">
      <c r="A31" s="1">
        <v>30</v>
      </c>
    </row>
    <row r="32" spans="1:1">
      <c r="A32" s="1">
        <v>31</v>
      </c>
    </row>
    <row r="33" spans="1:1">
      <c r="A33" s="1">
        <v>32</v>
      </c>
    </row>
    <row r="34" spans="1:1">
      <c r="A34" s="1">
        <v>33</v>
      </c>
    </row>
    <row r="35" spans="1:1">
      <c r="A35" s="1">
        <v>34</v>
      </c>
    </row>
    <row r="36" spans="1:1">
      <c r="A36" s="1">
        <v>35</v>
      </c>
    </row>
    <row r="37" spans="1:1">
      <c r="A37" s="1">
        <v>36</v>
      </c>
    </row>
    <row r="38" spans="1:1">
      <c r="A38" s="1">
        <v>37</v>
      </c>
    </row>
    <row r="39" spans="1:1">
      <c r="A39" s="1">
        <v>38</v>
      </c>
    </row>
    <row r="40" spans="1:1">
      <c r="A40" s="1">
        <v>39</v>
      </c>
    </row>
    <row r="41" spans="1:1">
      <c r="A41" s="1">
        <v>40</v>
      </c>
    </row>
    <row r="42" spans="1:1">
      <c r="A42" s="1">
        <v>41</v>
      </c>
    </row>
    <row r="43" spans="1:1">
      <c r="A43" s="1">
        <v>42</v>
      </c>
    </row>
    <row r="44" spans="1:1">
      <c r="A44" s="1">
        <v>43</v>
      </c>
    </row>
    <row r="45" spans="1:1">
      <c r="A45" s="1">
        <v>44</v>
      </c>
    </row>
    <row r="46" spans="1:1">
      <c r="A46" s="1">
        <v>45</v>
      </c>
    </row>
    <row r="47" spans="1:1">
      <c r="A47" s="1">
        <v>46</v>
      </c>
    </row>
    <row r="48" spans="1:1">
      <c r="A48" s="1">
        <v>47</v>
      </c>
    </row>
    <row r="49" spans="1:1">
      <c r="A49" s="1">
        <v>48</v>
      </c>
    </row>
    <row r="50" spans="1:1">
      <c r="A50" s="1">
        <v>49</v>
      </c>
    </row>
    <row r="51" spans="1:1">
      <c r="A51" s="1">
        <v>50</v>
      </c>
    </row>
    <row r="52" spans="1:1">
      <c r="A52" s="1">
        <v>51</v>
      </c>
    </row>
    <row r="53" spans="1:1">
      <c r="A53" s="1">
        <v>52</v>
      </c>
    </row>
    <row r="54" spans="1:1">
      <c r="A54" s="1">
        <v>53</v>
      </c>
    </row>
    <row r="55" spans="1:1">
      <c r="A55" s="1">
        <v>54</v>
      </c>
    </row>
    <row r="56" spans="1:1">
      <c r="A56" s="1">
        <v>55</v>
      </c>
    </row>
    <row r="57" spans="1:1">
      <c r="A57" s="1">
        <v>56</v>
      </c>
    </row>
    <row r="58" spans="1:1">
      <c r="A58" s="1">
        <v>57</v>
      </c>
    </row>
    <row r="59" spans="1:1">
      <c r="A59" s="1">
        <v>58</v>
      </c>
    </row>
    <row r="60" spans="1:1">
      <c r="A60" s="1">
        <v>59</v>
      </c>
    </row>
    <row r="61" spans="1:1">
      <c r="A61" s="1">
        <v>60</v>
      </c>
    </row>
    <row r="62" spans="1:1">
      <c r="A62" s="1">
        <v>61</v>
      </c>
    </row>
    <row r="63" spans="1:1">
      <c r="A63" s="1">
        <v>62</v>
      </c>
    </row>
    <row r="64" spans="1:1">
      <c r="A64" s="1">
        <v>63</v>
      </c>
    </row>
    <row r="65" spans="1:1">
      <c r="A65" s="1">
        <v>64</v>
      </c>
    </row>
    <row r="66" spans="1:1">
      <c r="A66" s="1">
        <v>65</v>
      </c>
    </row>
    <row r="67" spans="1:1">
      <c r="A67" s="1">
        <v>66</v>
      </c>
    </row>
    <row r="68" spans="1:1">
      <c r="A68" s="1">
        <v>67</v>
      </c>
    </row>
    <row r="69" spans="1:1">
      <c r="A69" s="1">
        <v>68</v>
      </c>
    </row>
    <row r="70" spans="1:1">
      <c r="A70" s="1">
        <v>69</v>
      </c>
    </row>
    <row r="71" spans="1:1">
      <c r="A71" s="1">
        <v>70</v>
      </c>
    </row>
    <row r="72" spans="1:1">
      <c r="A72" s="1">
        <v>71</v>
      </c>
    </row>
    <row r="73" spans="1:1">
      <c r="A73" s="1">
        <v>72</v>
      </c>
    </row>
    <row r="74" spans="1:1">
      <c r="A74" s="1">
        <v>73</v>
      </c>
    </row>
    <row r="75" spans="1:1">
      <c r="A75" s="1">
        <v>74</v>
      </c>
    </row>
    <row r="76" spans="1:1">
      <c r="A76" s="1">
        <v>75</v>
      </c>
    </row>
    <row r="77" spans="1:1">
      <c r="A77" s="1">
        <v>76</v>
      </c>
    </row>
    <row r="78" spans="1:1">
      <c r="A78" s="1">
        <v>77</v>
      </c>
    </row>
    <row r="79" spans="1:1">
      <c r="A79" s="1">
        <v>78</v>
      </c>
    </row>
    <row r="80" spans="1:1">
      <c r="A80" s="1">
        <v>79</v>
      </c>
    </row>
    <row r="81" spans="1:1">
      <c r="A81" s="1">
        <v>80</v>
      </c>
    </row>
    <row r="82" spans="1:1">
      <c r="A82" s="1">
        <v>81</v>
      </c>
    </row>
    <row r="83" spans="1:1">
      <c r="A83" s="1">
        <v>82</v>
      </c>
    </row>
    <row r="84" spans="1:1">
      <c r="A84" s="1">
        <v>83</v>
      </c>
    </row>
    <row r="85" spans="1:1">
      <c r="A85" s="1">
        <v>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tabColor rgb="FFFF0000"/>
  </sheetPr>
  <dimension ref="A1:G85"/>
  <sheetViews>
    <sheetView workbookViewId="0">
      <pane xSplit="2" ySplit="1" topLeftCell="C2" activePane="bottomRight" state="frozen"/>
      <selection activeCell="B1" sqref="B1"/>
      <selection pane="topRight" activeCell="B1" sqref="B1"/>
      <selection pane="bottomLeft" activeCell="B1" sqref="B1"/>
      <selection pane="bottomRight" activeCell="B1" sqref="B1"/>
    </sheetView>
  </sheetViews>
  <sheetFormatPr defaultRowHeight="15"/>
  <cols>
    <col min="1" max="1" width="9.140625" style="1"/>
  </cols>
  <sheetData>
    <row r="1" spans="1:7" s="1" customFormat="1">
      <c r="A1" s="1" t="s">
        <v>0</v>
      </c>
      <c r="C1" s="3"/>
      <c r="D1" s="3"/>
      <c r="E1" s="3"/>
      <c r="F1" s="3"/>
      <c r="G1" s="3"/>
    </row>
    <row r="2" spans="1:7">
      <c r="A2" s="1">
        <v>1</v>
      </c>
    </row>
    <row r="3" spans="1:7">
      <c r="A3" s="1">
        <v>2</v>
      </c>
    </row>
    <row r="4" spans="1:7">
      <c r="A4" s="1">
        <v>3</v>
      </c>
    </row>
    <row r="5" spans="1:7">
      <c r="A5" s="1">
        <v>4</v>
      </c>
    </row>
    <row r="6" spans="1:7">
      <c r="A6" s="1">
        <v>5</v>
      </c>
    </row>
    <row r="7" spans="1:7">
      <c r="A7" s="1">
        <v>6</v>
      </c>
    </row>
    <row r="8" spans="1:7">
      <c r="A8" s="1">
        <v>7</v>
      </c>
    </row>
    <row r="9" spans="1:7">
      <c r="A9" s="1">
        <v>8</v>
      </c>
    </row>
    <row r="10" spans="1:7">
      <c r="A10" s="1">
        <v>9</v>
      </c>
    </row>
    <row r="11" spans="1:7">
      <c r="A11" s="1">
        <v>10</v>
      </c>
    </row>
    <row r="12" spans="1:7">
      <c r="A12" s="1">
        <v>11</v>
      </c>
    </row>
    <row r="13" spans="1:7">
      <c r="A13" s="1">
        <v>12</v>
      </c>
    </row>
    <row r="14" spans="1:7">
      <c r="A14" s="1">
        <v>13</v>
      </c>
    </row>
    <row r="15" spans="1:7">
      <c r="A15" s="1">
        <v>14</v>
      </c>
    </row>
    <row r="16" spans="1:7">
      <c r="A16" s="1">
        <v>15</v>
      </c>
    </row>
    <row r="17" spans="1:1">
      <c r="A17" s="1">
        <v>16</v>
      </c>
    </row>
    <row r="18" spans="1:1">
      <c r="A18" s="1">
        <v>17</v>
      </c>
    </row>
    <row r="19" spans="1:1">
      <c r="A19" s="1">
        <v>18</v>
      </c>
    </row>
    <row r="20" spans="1:1">
      <c r="A20" s="1">
        <v>19</v>
      </c>
    </row>
    <row r="21" spans="1:1">
      <c r="A21" s="1">
        <v>20</v>
      </c>
    </row>
    <row r="22" spans="1:1">
      <c r="A22" s="1">
        <v>21</v>
      </c>
    </row>
    <row r="23" spans="1:1">
      <c r="A23" s="1">
        <v>22</v>
      </c>
    </row>
    <row r="24" spans="1:1">
      <c r="A24" s="1">
        <v>23</v>
      </c>
    </row>
    <row r="25" spans="1:1">
      <c r="A25" s="1">
        <v>24</v>
      </c>
    </row>
    <row r="26" spans="1:1">
      <c r="A26" s="1">
        <v>25</v>
      </c>
    </row>
    <row r="27" spans="1:1">
      <c r="A27" s="1">
        <v>26</v>
      </c>
    </row>
    <row r="28" spans="1:1">
      <c r="A28" s="1">
        <v>27</v>
      </c>
    </row>
    <row r="29" spans="1:1">
      <c r="A29" s="1">
        <v>28</v>
      </c>
    </row>
    <row r="30" spans="1:1">
      <c r="A30" s="1">
        <v>29</v>
      </c>
    </row>
    <row r="31" spans="1:1">
      <c r="A31" s="1">
        <v>30</v>
      </c>
    </row>
    <row r="32" spans="1:1">
      <c r="A32" s="1">
        <v>31</v>
      </c>
    </row>
    <row r="33" spans="1:1">
      <c r="A33" s="1">
        <v>32</v>
      </c>
    </row>
    <row r="34" spans="1:1">
      <c r="A34" s="1">
        <v>33</v>
      </c>
    </row>
    <row r="35" spans="1:1">
      <c r="A35" s="1">
        <v>34</v>
      </c>
    </row>
    <row r="36" spans="1:1">
      <c r="A36" s="1">
        <v>35</v>
      </c>
    </row>
    <row r="37" spans="1:1">
      <c r="A37" s="1">
        <v>36</v>
      </c>
    </row>
    <row r="38" spans="1:1">
      <c r="A38" s="1">
        <v>37</v>
      </c>
    </row>
    <row r="39" spans="1:1">
      <c r="A39" s="1">
        <v>38</v>
      </c>
    </row>
    <row r="40" spans="1:1">
      <c r="A40" s="1">
        <v>39</v>
      </c>
    </row>
    <row r="41" spans="1:1">
      <c r="A41" s="1">
        <v>40</v>
      </c>
    </row>
    <row r="42" spans="1:1">
      <c r="A42" s="1">
        <v>41</v>
      </c>
    </row>
    <row r="43" spans="1:1">
      <c r="A43" s="1">
        <v>42</v>
      </c>
    </row>
    <row r="44" spans="1:1">
      <c r="A44" s="1">
        <v>43</v>
      </c>
    </row>
    <row r="45" spans="1:1">
      <c r="A45" s="1">
        <v>44</v>
      </c>
    </row>
    <row r="46" spans="1:1">
      <c r="A46" s="1">
        <v>45</v>
      </c>
    </row>
    <row r="47" spans="1:1">
      <c r="A47" s="1">
        <v>46</v>
      </c>
    </row>
    <row r="48" spans="1:1">
      <c r="A48" s="1">
        <v>47</v>
      </c>
    </row>
    <row r="49" spans="1:1">
      <c r="A49" s="1">
        <v>48</v>
      </c>
    </row>
    <row r="50" spans="1:1">
      <c r="A50" s="1">
        <v>49</v>
      </c>
    </row>
    <row r="51" spans="1:1">
      <c r="A51" s="1">
        <v>50</v>
      </c>
    </row>
    <row r="52" spans="1:1">
      <c r="A52" s="1">
        <v>51</v>
      </c>
    </row>
    <row r="53" spans="1:1">
      <c r="A53" s="1">
        <v>52</v>
      </c>
    </row>
    <row r="54" spans="1:1">
      <c r="A54" s="1">
        <v>53</v>
      </c>
    </row>
    <row r="55" spans="1:1">
      <c r="A55" s="1">
        <v>54</v>
      </c>
    </row>
    <row r="56" spans="1:1">
      <c r="A56" s="1">
        <v>55</v>
      </c>
    </row>
    <row r="57" spans="1:1">
      <c r="A57" s="1">
        <v>56</v>
      </c>
    </row>
    <row r="58" spans="1:1">
      <c r="A58" s="1">
        <v>57</v>
      </c>
    </row>
    <row r="59" spans="1:1">
      <c r="A59" s="1">
        <v>58</v>
      </c>
    </row>
    <row r="60" spans="1:1">
      <c r="A60" s="1">
        <v>59</v>
      </c>
    </row>
    <row r="61" spans="1:1">
      <c r="A61" s="1">
        <v>60</v>
      </c>
    </row>
    <row r="62" spans="1:1">
      <c r="A62" s="1">
        <v>61</v>
      </c>
    </row>
    <row r="63" spans="1:1">
      <c r="A63" s="1">
        <v>62</v>
      </c>
    </row>
    <row r="64" spans="1:1">
      <c r="A64" s="1">
        <v>63</v>
      </c>
    </row>
    <row r="65" spans="1:1">
      <c r="A65" s="1">
        <v>64</v>
      </c>
    </row>
    <row r="66" spans="1:1">
      <c r="A66" s="1">
        <v>65</v>
      </c>
    </row>
    <row r="67" spans="1:1">
      <c r="A67" s="1">
        <v>66</v>
      </c>
    </row>
    <row r="68" spans="1:1">
      <c r="A68" s="1">
        <v>67</v>
      </c>
    </row>
    <row r="69" spans="1:1">
      <c r="A69" s="1">
        <v>68</v>
      </c>
    </row>
    <row r="70" spans="1:1">
      <c r="A70" s="1">
        <v>69</v>
      </c>
    </row>
    <row r="71" spans="1:1">
      <c r="A71" s="1">
        <v>70</v>
      </c>
    </row>
    <row r="72" spans="1:1">
      <c r="A72" s="1">
        <v>71</v>
      </c>
    </row>
    <row r="73" spans="1:1">
      <c r="A73" s="1">
        <v>72</v>
      </c>
    </row>
    <row r="74" spans="1:1">
      <c r="A74" s="1">
        <v>73</v>
      </c>
    </row>
    <row r="75" spans="1:1">
      <c r="A75" s="1">
        <v>74</v>
      </c>
    </row>
    <row r="76" spans="1:1">
      <c r="A76" s="1">
        <v>75</v>
      </c>
    </row>
    <row r="77" spans="1:1">
      <c r="A77" s="1">
        <v>76</v>
      </c>
    </row>
    <row r="78" spans="1:1">
      <c r="A78" s="1">
        <v>77</v>
      </c>
    </row>
    <row r="79" spans="1:1">
      <c r="A79" s="1">
        <v>78</v>
      </c>
    </row>
    <row r="80" spans="1:1">
      <c r="A80" s="1">
        <v>79</v>
      </c>
    </row>
    <row r="81" spans="1:1">
      <c r="A81" s="1">
        <v>80</v>
      </c>
    </row>
    <row r="82" spans="1:1">
      <c r="A82" s="1">
        <v>81</v>
      </c>
    </row>
    <row r="83" spans="1:1">
      <c r="A83" s="1">
        <v>82</v>
      </c>
    </row>
    <row r="84" spans="1:1">
      <c r="A84" s="1">
        <v>83</v>
      </c>
    </row>
    <row r="85" spans="1:1">
      <c r="A85" s="1">
        <v>84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6">
    <tabColor rgb="FF0070C0"/>
  </sheetPr>
  <dimension ref="A1:G85"/>
  <sheetViews>
    <sheetView workbookViewId="0">
      <pane xSplit="2" ySplit="1" topLeftCell="C2" activePane="bottomRight" state="frozen"/>
      <selection activeCell="B1" sqref="B1"/>
      <selection pane="topRight" activeCell="B1" sqref="B1"/>
      <selection pane="bottomLeft" activeCell="B1" sqref="B1"/>
      <selection pane="bottomRight" activeCell="B1" sqref="B1"/>
    </sheetView>
  </sheetViews>
  <sheetFormatPr defaultRowHeight="15"/>
  <cols>
    <col min="1" max="1" width="9.140625" style="1"/>
  </cols>
  <sheetData>
    <row r="1" spans="1:7" s="1" customFormat="1">
      <c r="A1" s="1" t="s">
        <v>0</v>
      </c>
      <c r="C1" s="3"/>
      <c r="D1" s="3"/>
      <c r="E1" s="3"/>
      <c r="F1" s="3"/>
      <c r="G1" s="3"/>
    </row>
    <row r="2" spans="1:7">
      <c r="A2" s="1">
        <v>1</v>
      </c>
    </row>
    <row r="3" spans="1:7">
      <c r="A3" s="1">
        <v>2</v>
      </c>
    </row>
    <row r="4" spans="1:7">
      <c r="A4" s="1">
        <v>3</v>
      </c>
    </row>
    <row r="5" spans="1:7">
      <c r="A5" s="1">
        <v>4</v>
      </c>
    </row>
    <row r="6" spans="1:7">
      <c r="A6" s="1">
        <v>5</v>
      </c>
    </row>
    <row r="7" spans="1:7">
      <c r="A7" s="1">
        <v>6</v>
      </c>
    </row>
    <row r="8" spans="1:7">
      <c r="A8" s="1">
        <v>7</v>
      </c>
    </row>
    <row r="9" spans="1:7">
      <c r="A9" s="1">
        <v>8</v>
      </c>
    </row>
    <row r="10" spans="1:7">
      <c r="A10" s="1">
        <v>9</v>
      </c>
    </row>
    <row r="11" spans="1:7">
      <c r="A11" s="1">
        <v>10</v>
      </c>
    </row>
    <row r="12" spans="1:7">
      <c r="A12" s="1">
        <v>11</v>
      </c>
    </row>
    <row r="13" spans="1:7">
      <c r="A13" s="1">
        <v>12</v>
      </c>
    </row>
    <row r="14" spans="1:7">
      <c r="A14" s="1">
        <v>13</v>
      </c>
    </row>
    <row r="15" spans="1:7">
      <c r="A15" s="1">
        <v>14</v>
      </c>
    </row>
    <row r="16" spans="1:7">
      <c r="A16" s="1">
        <v>15</v>
      </c>
    </row>
    <row r="17" spans="1:1">
      <c r="A17" s="1">
        <v>16</v>
      </c>
    </row>
    <row r="18" spans="1:1">
      <c r="A18" s="1">
        <v>17</v>
      </c>
    </row>
    <row r="19" spans="1:1">
      <c r="A19" s="1">
        <v>18</v>
      </c>
    </row>
    <row r="20" spans="1:1">
      <c r="A20" s="1">
        <v>19</v>
      </c>
    </row>
    <row r="21" spans="1:1">
      <c r="A21" s="1">
        <v>20</v>
      </c>
    </row>
    <row r="22" spans="1:1">
      <c r="A22" s="1">
        <v>21</v>
      </c>
    </row>
    <row r="23" spans="1:1">
      <c r="A23" s="1">
        <v>22</v>
      </c>
    </row>
    <row r="24" spans="1:1">
      <c r="A24" s="1">
        <v>23</v>
      </c>
    </row>
    <row r="25" spans="1:1">
      <c r="A25" s="1">
        <v>24</v>
      </c>
    </row>
    <row r="26" spans="1:1">
      <c r="A26" s="1">
        <v>25</v>
      </c>
    </row>
    <row r="27" spans="1:1">
      <c r="A27" s="1">
        <v>26</v>
      </c>
    </row>
    <row r="28" spans="1:1">
      <c r="A28" s="1">
        <v>27</v>
      </c>
    </row>
    <row r="29" spans="1:1">
      <c r="A29" s="1">
        <v>28</v>
      </c>
    </row>
    <row r="30" spans="1:1">
      <c r="A30" s="1">
        <v>29</v>
      </c>
    </row>
    <row r="31" spans="1:1">
      <c r="A31" s="1">
        <v>30</v>
      </c>
    </row>
    <row r="32" spans="1:1">
      <c r="A32" s="1">
        <v>31</v>
      </c>
    </row>
    <row r="33" spans="1:1">
      <c r="A33" s="1">
        <v>32</v>
      </c>
    </row>
    <row r="34" spans="1:1">
      <c r="A34" s="1">
        <v>33</v>
      </c>
    </row>
    <row r="35" spans="1:1">
      <c r="A35" s="1">
        <v>34</v>
      </c>
    </row>
    <row r="36" spans="1:1">
      <c r="A36" s="1">
        <v>35</v>
      </c>
    </row>
    <row r="37" spans="1:1">
      <c r="A37" s="1">
        <v>36</v>
      </c>
    </row>
    <row r="38" spans="1:1">
      <c r="A38" s="1">
        <v>37</v>
      </c>
    </row>
    <row r="39" spans="1:1">
      <c r="A39" s="1">
        <v>38</v>
      </c>
    </row>
    <row r="40" spans="1:1">
      <c r="A40" s="1">
        <v>39</v>
      </c>
    </row>
    <row r="41" spans="1:1">
      <c r="A41" s="1">
        <v>40</v>
      </c>
    </row>
    <row r="42" spans="1:1">
      <c r="A42" s="1">
        <v>41</v>
      </c>
    </row>
    <row r="43" spans="1:1">
      <c r="A43" s="1">
        <v>42</v>
      </c>
    </row>
    <row r="44" spans="1:1">
      <c r="A44" s="1">
        <v>43</v>
      </c>
    </row>
    <row r="45" spans="1:1">
      <c r="A45" s="1">
        <v>44</v>
      </c>
    </row>
    <row r="46" spans="1:1">
      <c r="A46" s="1">
        <v>45</v>
      </c>
    </row>
    <row r="47" spans="1:1">
      <c r="A47" s="1">
        <v>46</v>
      </c>
    </row>
    <row r="48" spans="1:1">
      <c r="A48" s="1">
        <v>47</v>
      </c>
    </row>
    <row r="49" spans="1:1">
      <c r="A49" s="1">
        <v>48</v>
      </c>
    </row>
    <row r="50" spans="1:1">
      <c r="A50" s="1">
        <v>49</v>
      </c>
    </row>
    <row r="51" spans="1:1">
      <c r="A51" s="1">
        <v>50</v>
      </c>
    </row>
    <row r="52" spans="1:1">
      <c r="A52" s="1">
        <v>51</v>
      </c>
    </row>
    <row r="53" spans="1:1">
      <c r="A53" s="1">
        <v>52</v>
      </c>
    </row>
    <row r="54" spans="1:1">
      <c r="A54" s="1">
        <v>53</v>
      </c>
    </row>
    <row r="55" spans="1:1">
      <c r="A55" s="1">
        <v>54</v>
      </c>
    </row>
    <row r="56" spans="1:1">
      <c r="A56" s="1">
        <v>55</v>
      </c>
    </row>
    <row r="57" spans="1:1">
      <c r="A57" s="1">
        <v>56</v>
      </c>
    </row>
    <row r="58" spans="1:1">
      <c r="A58" s="1">
        <v>57</v>
      </c>
    </row>
    <row r="59" spans="1:1">
      <c r="A59" s="1">
        <v>58</v>
      </c>
    </row>
    <row r="60" spans="1:1">
      <c r="A60" s="1">
        <v>59</v>
      </c>
    </row>
    <row r="61" spans="1:1">
      <c r="A61" s="1">
        <v>60</v>
      </c>
    </row>
    <row r="62" spans="1:1">
      <c r="A62" s="1">
        <v>61</v>
      </c>
    </row>
    <row r="63" spans="1:1">
      <c r="A63" s="1">
        <v>62</v>
      </c>
    </row>
    <row r="64" spans="1:1">
      <c r="A64" s="1">
        <v>63</v>
      </c>
    </row>
    <row r="65" spans="1:1">
      <c r="A65" s="1">
        <v>64</v>
      </c>
    </row>
    <row r="66" spans="1:1">
      <c r="A66" s="1">
        <v>65</v>
      </c>
    </row>
    <row r="67" spans="1:1">
      <c r="A67" s="1">
        <v>66</v>
      </c>
    </row>
    <row r="68" spans="1:1">
      <c r="A68" s="1">
        <v>67</v>
      </c>
    </row>
    <row r="69" spans="1:1">
      <c r="A69" s="1">
        <v>68</v>
      </c>
    </row>
    <row r="70" spans="1:1">
      <c r="A70" s="1">
        <v>69</v>
      </c>
    </row>
    <row r="71" spans="1:1">
      <c r="A71" s="1">
        <v>70</v>
      </c>
    </row>
    <row r="72" spans="1:1">
      <c r="A72" s="1">
        <v>71</v>
      </c>
    </row>
    <row r="73" spans="1:1">
      <c r="A73" s="1">
        <v>72</v>
      </c>
    </row>
    <row r="74" spans="1:1">
      <c r="A74" s="1">
        <v>73</v>
      </c>
    </row>
    <row r="75" spans="1:1">
      <c r="A75" s="1">
        <v>74</v>
      </c>
    </row>
    <row r="76" spans="1:1">
      <c r="A76" s="1">
        <v>75</v>
      </c>
    </row>
    <row r="77" spans="1:1">
      <c r="A77" s="1">
        <v>76</v>
      </c>
    </row>
    <row r="78" spans="1:1">
      <c r="A78" s="1">
        <v>77</v>
      </c>
    </row>
    <row r="79" spans="1:1">
      <c r="A79" s="1">
        <v>78</v>
      </c>
    </row>
    <row r="80" spans="1:1">
      <c r="A80" s="1">
        <v>79</v>
      </c>
    </row>
    <row r="81" spans="1:1">
      <c r="A81" s="1">
        <v>80</v>
      </c>
    </row>
    <row r="82" spans="1:1">
      <c r="A82" s="1">
        <v>81</v>
      </c>
    </row>
    <row r="83" spans="1:1">
      <c r="A83" s="1">
        <v>82</v>
      </c>
    </row>
    <row r="84" spans="1:1">
      <c r="A84" s="1">
        <v>83</v>
      </c>
    </row>
    <row r="85" spans="1:1">
      <c r="A85" s="1">
        <v>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7">
    <tabColor rgb="FF0070C0"/>
  </sheetPr>
  <dimension ref="A1:G85"/>
  <sheetViews>
    <sheetView workbookViewId="0">
      <pane xSplit="2" ySplit="1" topLeftCell="C2" activePane="bottomRight" state="frozen"/>
      <selection activeCell="B1" sqref="B1"/>
      <selection pane="topRight" activeCell="B1" sqref="B1"/>
      <selection pane="bottomLeft" activeCell="B1" sqref="B1"/>
      <selection pane="bottomRight" activeCell="B1" sqref="B1"/>
    </sheetView>
  </sheetViews>
  <sheetFormatPr defaultRowHeight="15"/>
  <cols>
    <col min="1" max="1" width="9.140625" style="1"/>
  </cols>
  <sheetData>
    <row r="1" spans="1:7" s="1" customFormat="1">
      <c r="A1" s="1" t="s">
        <v>0</v>
      </c>
      <c r="C1" s="3"/>
      <c r="D1" s="3"/>
      <c r="E1" s="3"/>
      <c r="F1" s="3"/>
      <c r="G1" s="3"/>
    </row>
    <row r="2" spans="1:7">
      <c r="A2" s="1">
        <v>1</v>
      </c>
    </row>
    <row r="3" spans="1:7">
      <c r="A3" s="1">
        <v>2</v>
      </c>
    </row>
    <row r="4" spans="1:7">
      <c r="A4" s="1">
        <v>3</v>
      </c>
    </row>
    <row r="5" spans="1:7">
      <c r="A5" s="1">
        <v>4</v>
      </c>
    </row>
    <row r="6" spans="1:7">
      <c r="A6" s="1">
        <v>5</v>
      </c>
    </row>
    <row r="7" spans="1:7">
      <c r="A7" s="1">
        <v>6</v>
      </c>
    </row>
    <row r="8" spans="1:7">
      <c r="A8" s="1">
        <v>7</v>
      </c>
    </row>
    <row r="9" spans="1:7">
      <c r="A9" s="1">
        <v>8</v>
      </c>
    </row>
    <row r="10" spans="1:7">
      <c r="A10" s="1">
        <v>9</v>
      </c>
    </row>
    <row r="11" spans="1:7">
      <c r="A11" s="1">
        <v>10</v>
      </c>
    </row>
    <row r="12" spans="1:7">
      <c r="A12" s="1">
        <v>11</v>
      </c>
    </row>
    <row r="13" spans="1:7">
      <c r="A13" s="1">
        <v>12</v>
      </c>
    </row>
    <row r="14" spans="1:7">
      <c r="A14" s="1">
        <v>13</v>
      </c>
    </row>
    <row r="15" spans="1:7">
      <c r="A15" s="1">
        <v>14</v>
      </c>
    </row>
    <row r="16" spans="1:7">
      <c r="A16" s="1">
        <v>15</v>
      </c>
    </row>
    <row r="17" spans="1:1">
      <c r="A17" s="1">
        <v>16</v>
      </c>
    </row>
    <row r="18" spans="1:1">
      <c r="A18" s="1">
        <v>17</v>
      </c>
    </row>
    <row r="19" spans="1:1">
      <c r="A19" s="1">
        <v>18</v>
      </c>
    </row>
    <row r="20" spans="1:1">
      <c r="A20" s="1">
        <v>19</v>
      </c>
    </row>
    <row r="21" spans="1:1">
      <c r="A21" s="1">
        <v>20</v>
      </c>
    </row>
    <row r="22" spans="1:1">
      <c r="A22" s="1">
        <v>21</v>
      </c>
    </row>
    <row r="23" spans="1:1">
      <c r="A23" s="1">
        <v>22</v>
      </c>
    </row>
    <row r="24" spans="1:1">
      <c r="A24" s="1">
        <v>23</v>
      </c>
    </row>
    <row r="25" spans="1:1">
      <c r="A25" s="1">
        <v>24</v>
      </c>
    </row>
    <row r="26" spans="1:1">
      <c r="A26" s="1">
        <v>25</v>
      </c>
    </row>
    <row r="27" spans="1:1">
      <c r="A27" s="1">
        <v>26</v>
      </c>
    </row>
    <row r="28" spans="1:1">
      <c r="A28" s="1">
        <v>27</v>
      </c>
    </row>
    <row r="29" spans="1:1">
      <c r="A29" s="1">
        <v>28</v>
      </c>
    </row>
    <row r="30" spans="1:1">
      <c r="A30" s="1">
        <v>29</v>
      </c>
    </row>
    <row r="31" spans="1:1">
      <c r="A31" s="1">
        <v>30</v>
      </c>
    </row>
    <row r="32" spans="1:1">
      <c r="A32" s="1">
        <v>31</v>
      </c>
    </row>
    <row r="33" spans="1:1">
      <c r="A33" s="1">
        <v>32</v>
      </c>
    </row>
    <row r="34" spans="1:1">
      <c r="A34" s="1">
        <v>33</v>
      </c>
    </row>
    <row r="35" spans="1:1">
      <c r="A35" s="1">
        <v>34</v>
      </c>
    </row>
    <row r="36" spans="1:1">
      <c r="A36" s="1">
        <v>35</v>
      </c>
    </row>
    <row r="37" spans="1:1">
      <c r="A37" s="1">
        <v>36</v>
      </c>
    </row>
    <row r="38" spans="1:1">
      <c r="A38" s="1">
        <v>37</v>
      </c>
    </row>
    <row r="39" spans="1:1">
      <c r="A39" s="1">
        <v>38</v>
      </c>
    </row>
    <row r="40" spans="1:1">
      <c r="A40" s="1">
        <v>39</v>
      </c>
    </row>
    <row r="41" spans="1:1">
      <c r="A41" s="1">
        <v>40</v>
      </c>
    </row>
    <row r="42" spans="1:1">
      <c r="A42" s="1">
        <v>41</v>
      </c>
    </row>
    <row r="43" spans="1:1">
      <c r="A43" s="1">
        <v>42</v>
      </c>
    </row>
    <row r="44" spans="1:1">
      <c r="A44" s="1">
        <v>43</v>
      </c>
    </row>
    <row r="45" spans="1:1">
      <c r="A45" s="1">
        <v>44</v>
      </c>
    </row>
    <row r="46" spans="1:1">
      <c r="A46" s="1">
        <v>45</v>
      </c>
    </row>
    <row r="47" spans="1:1">
      <c r="A47" s="1">
        <v>46</v>
      </c>
    </row>
    <row r="48" spans="1:1">
      <c r="A48" s="1">
        <v>47</v>
      </c>
    </row>
    <row r="49" spans="1:1">
      <c r="A49" s="1">
        <v>48</v>
      </c>
    </row>
    <row r="50" spans="1:1">
      <c r="A50" s="1">
        <v>49</v>
      </c>
    </row>
    <row r="51" spans="1:1">
      <c r="A51" s="1">
        <v>50</v>
      </c>
    </row>
    <row r="52" spans="1:1">
      <c r="A52" s="1">
        <v>51</v>
      </c>
    </row>
    <row r="53" spans="1:1">
      <c r="A53" s="1">
        <v>52</v>
      </c>
    </row>
    <row r="54" spans="1:1">
      <c r="A54" s="1">
        <v>53</v>
      </c>
    </row>
    <row r="55" spans="1:1">
      <c r="A55" s="1">
        <v>54</v>
      </c>
    </row>
    <row r="56" spans="1:1">
      <c r="A56" s="1">
        <v>55</v>
      </c>
    </row>
    <row r="57" spans="1:1">
      <c r="A57" s="1">
        <v>56</v>
      </c>
    </row>
    <row r="58" spans="1:1">
      <c r="A58" s="1">
        <v>57</v>
      </c>
    </row>
    <row r="59" spans="1:1">
      <c r="A59" s="1">
        <v>58</v>
      </c>
    </row>
    <row r="60" spans="1:1">
      <c r="A60" s="1">
        <v>59</v>
      </c>
    </row>
    <row r="61" spans="1:1">
      <c r="A61" s="1">
        <v>60</v>
      </c>
    </row>
    <row r="62" spans="1:1">
      <c r="A62" s="1">
        <v>61</v>
      </c>
    </row>
    <row r="63" spans="1:1">
      <c r="A63" s="1">
        <v>62</v>
      </c>
    </row>
    <row r="64" spans="1:1">
      <c r="A64" s="1">
        <v>63</v>
      </c>
    </row>
    <row r="65" spans="1:1">
      <c r="A65" s="1">
        <v>64</v>
      </c>
    </row>
    <row r="66" spans="1:1">
      <c r="A66" s="1">
        <v>65</v>
      </c>
    </row>
    <row r="67" spans="1:1">
      <c r="A67" s="1">
        <v>66</v>
      </c>
    </row>
    <row r="68" spans="1:1">
      <c r="A68" s="1">
        <v>67</v>
      </c>
    </row>
    <row r="69" spans="1:1">
      <c r="A69" s="1">
        <v>68</v>
      </c>
    </row>
    <row r="70" spans="1:1">
      <c r="A70" s="1">
        <v>69</v>
      </c>
    </row>
    <row r="71" spans="1:1">
      <c r="A71" s="1">
        <v>70</v>
      </c>
    </row>
    <row r="72" spans="1:1">
      <c r="A72" s="1">
        <v>71</v>
      </c>
    </row>
    <row r="73" spans="1:1">
      <c r="A73" s="1">
        <v>72</v>
      </c>
    </row>
    <row r="74" spans="1:1">
      <c r="A74" s="1">
        <v>73</v>
      </c>
    </row>
    <row r="75" spans="1:1">
      <c r="A75" s="1">
        <v>74</v>
      </c>
    </row>
    <row r="76" spans="1:1">
      <c r="A76" s="1">
        <v>75</v>
      </c>
    </row>
    <row r="77" spans="1:1">
      <c r="A77" s="1">
        <v>76</v>
      </c>
    </row>
    <row r="78" spans="1:1">
      <c r="A78" s="1">
        <v>77</v>
      </c>
    </row>
    <row r="79" spans="1:1">
      <c r="A79" s="1">
        <v>78</v>
      </c>
    </row>
    <row r="80" spans="1:1">
      <c r="A80" s="1">
        <v>79</v>
      </c>
    </row>
    <row r="81" spans="1:1">
      <c r="A81" s="1">
        <v>80</v>
      </c>
    </row>
    <row r="82" spans="1:1">
      <c r="A82" s="1">
        <v>81</v>
      </c>
    </row>
    <row r="83" spans="1:1">
      <c r="A83" s="1">
        <v>82</v>
      </c>
    </row>
    <row r="84" spans="1:1">
      <c r="A84" s="1">
        <v>83</v>
      </c>
    </row>
    <row r="85" spans="1:1">
      <c r="A85" s="1">
        <v>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tabColor rgb="FF0070C0"/>
  </sheetPr>
  <dimension ref="A1:G85"/>
  <sheetViews>
    <sheetView workbookViewId="0">
      <pane xSplit="2" ySplit="1" topLeftCell="C2" activePane="bottomRight" state="frozen"/>
      <selection activeCell="B1" sqref="B1"/>
      <selection pane="topRight" activeCell="B1" sqref="B1"/>
      <selection pane="bottomLeft" activeCell="B1" sqref="B1"/>
      <selection pane="bottomRight" activeCell="B1" sqref="B1"/>
    </sheetView>
  </sheetViews>
  <sheetFormatPr defaultRowHeight="15"/>
  <cols>
    <col min="1" max="1" width="9.140625" style="1"/>
  </cols>
  <sheetData>
    <row r="1" spans="1:7" s="1" customFormat="1">
      <c r="A1" s="1" t="s">
        <v>0</v>
      </c>
      <c r="C1" s="3"/>
      <c r="D1" s="3"/>
      <c r="E1" s="3"/>
      <c r="F1" s="3"/>
      <c r="G1" s="3"/>
    </row>
    <row r="2" spans="1:7">
      <c r="A2" s="1">
        <v>1</v>
      </c>
    </row>
    <row r="3" spans="1:7">
      <c r="A3" s="1">
        <v>2</v>
      </c>
    </row>
    <row r="4" spans="1:7">
      <c r="A4" s="1">
        <v>3</v>
      </c>
    </row>
    <row r="5" spans="1:7">
      <c r="A5" s="1">
        <v>4</v>
      </c>
    </row>
    <row r="6" spans="1:7">
      <c r="A6" s="1">
        <v>5</v>
      </c>
    </row>
    <row r="7" spans="1:7">
      <c r="A7" s="1">
        <v>6</v>
      </c>
    </row>
    <row r="8" spans="1:7">
      <c r="A8" s="1">
        <v>7</v>
      </c>
    </row>
    <row r="9" spans="1:7">
      <c r="A9" s="1">
        <v>8</v>
      </c>
    </row>
    <row r="10" spans="1:7">
      <c r="A10" s="1">
        <v>9</v>
      </c>
    </row>
    <row r="11" spans="1:7">
      <c r="A11" s="1">
        <v>10</v>
      </c>
    </row>
    <row r="12" spans="1:7">
      <c r="A12" s="1">
        <v>11</v>
      </c>
    </row>
    <row r="13" spans="1:7">
      <c r="A13" s="1">
        <v>12</v>
      </c>
    </row>
    <row r="14" spans="1:7">
      <c r="A14" s="1">
        <v>13</v>
      </c>
    </row>
    <row r="15" spans="1:7">
      <c r="A15" s="1">
        <v>14</v>
      </c>
    </row>
    <row r="16" spans="1:7">
      <c r="A16" s="1">
        <v>15</v>
      </c>
    </row>
    <row r="17" spans="1:1">
      <c r="A17" s="1">
        <v>16</v>
      </c>
    </row>
    <row r="18" spans="1:1">
      <c r="A18" s="1">
        <v>17</v>
      </c>
    </row>
    <row r="19" spans="1:1">
      <c r="A19" s="1">
        <v>18</v>
      </c>
    </row>
    <row r="20" spans="1:1">
      <c r="A20" s="1">
        <v>19</v>
      </c>
    </row>
    <row r="21" spans="1:1">
      <c r="A21" s="1">
        <v>20</v>
      </c>
    </row>
    <row r="22" spans="1:1">
      <c r="A22" s="1">
        <v>21</v>
      </c>
    </row>
    <row r="23" spans="1:1">
      <c r="A23" s="1">
        <v>22</v>
      </c>
    </row>
    <row r="24" spans="1:1">
      <c r="A24" s="1">
        <v>23</v>
      </c>
    </row>
    <row r="25" spans="1:1">
      <c r="A25" s="1">
        <v>24</v>
      </c>
    </row>
    <row r="26" spans="1:1">
      <c r="A26" s="1">
        <v>25</v>
      </c>
    </row>
    <row r="27" spans="1:1">
      <c r="A27" s="1">
        <v>26</v>
      </c>
    </row>
    <row r="28" spans="1:1">
      <c r="A28" s="1">
        <v>27</v>
      </c>
    </row>
    <row r="29" spans="1:1">
      <c r="A29" s="1">
        <v>28</v>
      </c>
    </row>
    <row r="30" spans="1:1">
      <c r="A30" s="1">
        <v>29</v>
      </c>
    </row>
    <row r="31" spans="1:1">
      <c r="A31" s="1">
        <v>30</v>
      </c>
    </row>
    <row r="32" spans="1:1">
      <c r="A32" s="1">
        <v>31</v>
      </c>
    </row>
    <row r="33" spans="1:1">
      <c r="A33" s="1">
        <v>32</v>
      </c>
    </row>
    <row r="34" spans="1:1">
      <c r="A34" s="1">
        <v>33</v>
      </c>
    </row>
    <row r="35" spans="1:1">
      <c r="A35" s="1">
        <v>34</v>
      </c>
    </row>
    <row r="36" spans="1:1">
      <c r="A36" s="1">
        <v>35</v>
      </c>
    </row>
    <row r="37" spans="1:1">
      <c r="A37" s="1">
        <v>36</v>
      </c>
    </row>
    <row r="38" spans="1:1">
      <c r="A38" s="1">
        <v>37</v>
      </c>
    </row>
    <row r="39" spans="1:1">
      <c r="A39" s="1">
        <v>38</v>
      </c>
    </row>
    <row r="40" spans="1:1">
      <c r="A40" s="1">
        <v>39</v>
      </c>
    </row>
    <row r="41" spans="1:1">
      <c r="A41" s="1">
        <v>40</v>
      </c>
    </row>
    <row r="42" spans="1:1">
      <c r="A42" s="1">
        <v>41</v>
      </c>
    </row>
    <row r="43" spans="1:1">
      <c r="A43" s="1">
        <v>42</v>
      </c>
    </row>
    <row r="44" spans="1:1">
      <c r="A44" s="1">
        <v>43</v>
      </c>
    </row>
    <row r="45" spans="1:1">
      <c r="A45" s="1">
        <v>44</v>
      </c>
    </row>
    <row r="46" spans="1:1">
      <c r="A46" s="1">
        <v>45</v>
      </c>
    </row>
    <row r="47" spans="1:1">
      <c r="A47" s="1">
        <v>46</v>
      </c>
    </row>
    <row r="48" spans="1:1">
      <c r="A48" s="1">
        <v>47</v>
      </c>
    </row>
    <row r="49" spans="1:1">
      <c r="A49" s="1">
        <v>48</v>
      </c>
    </row>
    <row r="50" spans="1:1">
      <c r="A50" s="1">
        <v>49</v>
      </c>
    </row>
    <row r="51" spans="1:1">
      <c r="A51" s="1">
        <v>50</v>
      </c>
    </row>
    <row r="52" spans="1:1">
      <c r="A52" s="1">
        <v>51</v>
      </c>
    </row>
    <row r="53" spans="1:1">
      <c r="A53" s="1">
        <v>52</v>
      </c>
    </row>
    <row r="54" spans="1:1">
      <c r="A54" s="1">
        <v>53</v>
      </c>
    </row>
    <row r="55" spans="1:1">
      <c r="A55" s="1">
        <v>54</v>
      </c>
    </row>
    <row r="56" spans="1:1">
      <c r="A56" s="1">
        <v>55</v>
      </c>
    </row>
    <row r="57" spans="1:1">
      <c r="A57" s="1">
        <v>56</v>
      </c>
    </row>
    <row r="58" spans="1:1">
      <c r="A58" s="1">
        <v>57</v>
      </c>
    </row>
    <row r="59" spans="1:1">
      <c r="A59" s="1">
        <v>58</v>
      </c>
    </row>
    <row r="60" spans="1:1">
      <c r="A60" s="1">
        <v>59</v>
      </c>
    </row>
    <row r="61" spans="1:1">
      <c r="A61" s="1">
        <v>60</v>
      </c>
    </row>
    <row r="62" spans="1:1">
      <c r="A62" s="1">
        <v>61</v>
      </c>
    </row>
    <row r="63" spans="1:1">
      <c r="A63" s="1">
        <v>62</v>
      </c>
    </row>
    <row r="64" spans="1:1">
      <c r="A64" s="1">
        <v>63</v>
      </c>
    </row>
    <row r="65" spans="1:1">
      <c r="A65" s="1">
        <v>64</v>
      </c>
    </row>
    <row r="66" spans="1:1">
      <c r="A66" s="1">
        <v>65</v>
      </c>
    </row>
    <row r="67" spans="1:1">
      <c r="A67" s="1">
        <v>66</v>
      </c>
    </row>
    <row r="68" spans="1:1">
      <c r="A68" s="1">
        <v>67</v>
      </c>
    </row>
    <row r="69" spans="1:1">
      <c r="A69" s="1">
        <v>68</v>
      </c>
    </row>
    <row r="70" spans="1:1">
      <c r="A70" s="1">
        <v>69</v>
      </c>
    </row>
    <row r="71" spans="1:1">
      <c r="A71" s="1">
        <v>70</v>
      </c>
    </row>
    <row r="72" spans="1:1">
      <c r="A72" s="1">
        <v>71</v>
      </c>
    </row>
    <row r="73" spans="1:1">
      <c r="A73" s="1">
        <v>72</v>
      </c>
    </row>
    <row r="74" spans="1:1">
      <c r="A74" s="1">
        <v>73</v>
      </c>
    </row>
    <row r="75" spans="1:1">
      <c r="A75" s="1">
        <v>74</v>
      </c>
    </row>
    <row r="76" spans="1:1">
      <c r="A76" s="1">
        <v>75</v>
      </c>
    </row>
    <row r="77" spans="1:1">
      <c r="A77" s="1">
        <v>76</v>
      </c>
    </row>
    <row r="78" spans="1:1">
      <c r="A78" s="1">
        <v>77</v>
      </c>
    </row>
    <row r="79" spans="1:1">
      <c r="A79" s="1">
        <v>78</v>
      </c>
    </row>
    <row r="80" spans="1:1">
      <c r="A80" s="1">
        <v>79</v>
      </c>
    </row>
    <row r="81" spans="1:1">
      <c r="A81" s="1">
        <v>80</v>
      </c>
    </row>
    <row r="82" spans="1:1">
      <c r="A82" s="1">
        <v>81</v>
      </c>
    </row>
    <row r="83" spans="1:1">
      <c r="A83" s="1">
        <v>82</v>
      </c>
    </row>
    <row r="84" spans="1:1">
      <c r="A84" s="1">
        <v>83</v>
      </c>
    </row>
    <row r="85" spans="1:1">
      <c r="A85" s="1">
        <v>84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tabColor rgb="FF7030A0"/>
    <pageSetUpPr fitToPage="1"/>
  </sheetPr>
  <dimension ref="A1:O125"/>
  <sheetViews>
    <sheetView workbookViewId="0">
      <pane xSplit="1" ySplit="1" topLeftCell="B2" activePane="bottomRight" state="frozen"/>
      <selection pane="topRight" activeCell="B1" sqref="B1"/>
      <selection pane="bottomLeft" activeCell="A2" sqref="A2"/>
      <selection pane="bottomRight" activeCell="S14" sqref="S14"/>
    </sheetView>
  </sheetViews>
  <sheetFormatPr defaultColWidth="9.28515625" defaultRowHeight="15"/>
  <cols>
    <col min="1" max="1" width="9.28515625" style="78"/>
    <col min="2" max="2" width="9.28515625" style="79"/>
    <col min="3" max="3" width="9.28515625" style="136"/>
    <col min="4" max="4" width="9.28515625" style="140"/>
    <col min="5" max="5" width="10.28515625" style="141" customWidth="1"/>
    <col min="6" max="6" width="11.7109375" style="142" customWidth="1"/>
    <col min="7" max="7" width="11.5703125" style="132" customWidth="1"/>
    <col min="8" max="8" width="9.28515625" style="119" customWidth="1"/>
    <col min="9" max="9" width="9.28515625" style="103" customWidth="1"/>
    <col min="10" max="10" width="9.28515625" style="119" customWidth="1"/>
    <col min="11" max="11" width="9.140625" style="134" customWidth="1"/>
    <col min="12" max="12" width="9.28515625" style="120"/>
    <col min="13" max="14" width="9.28515625" style="129" hidden="1" customWidth="1"/>
    <col min="15" max="15" width="9.28515625" style="79" hidden="1" customWidth="1"/>
    <col min="16" max="16384" width="9.28515625" style="79"/>
  </cols>
  <sheetData>
    <row r="1" spans="1:15" s="126" customFormat="1" ht="61.5" customHeight="1" thickBot="1">
      <c r="A1" s="102" t="s">
        <v>1</v>
      </c>
      <c r="B1" s="102" t="s">
        <v>8</v>
      </c>
      <c r="C1" s="135" t="s">
        <v>83</v>
      </c>
      <c r="D1" s="137" t="s">
        <v>87</v>
      </c>
      <c r="E1" s="138" t="s">
        <v>82</v>
      </c>
      <c r="F1" s="139" t="s">
        <v>81</v>
      </c>
      <c r="G1" s="131" t="s">
        <v>77</v>
      </c>
      <c r="H1" s="143" t="s">
        <v>88</v>
      </c>
      <c r="I1" s="144" t="s">
        <v>84</v>
      </c>
      <c r="J1" s="145" t="s">
        <v>89</v>
      </c>
      <c r="K1" s="133" t="s">
        <v>90</v>
      </c>
      <c r="L1" s="146" t="s">
        <v>91</v>
      </c>
      <c r="M1" s="127" t="s">
        <v>71</v>
      </c>
      <c r="N1" s="127" t="s">
        <v>72</v>
      </c>
      <c r="O1" s="130" t="s">
        <v>78</v>
      </c>
    </row>
    <row r="2" spans="1:15" ht="15.75" customHeight="1">
      <c r="A2" s="216"/>
      <c r="B2" s="217"/>
      <c r="C2" s="218"/>
      <c r="D2" s="219"/>
      <c r="E2" s="220"/>
      <c r="F2" s="221"/>
      <c r="G2" s="222"/>
      <c r="H2" s="223"/>
      <c r="I2" s="224"/>
      <c r="J2" s="223"/>
      <c r="K2" s="225"/>
      <c r="L2" s="226"/>
      <c r="M2" s="128">
        <v>0</v>
      </c>
      <c r="N2" s="128">
        <v>1.5</v>
      </c>
      <c r="O2" s="128">
        <v>0</v>
      </c>
    </row>
    <row r="3" spans="1:15" ht="15.75" customHeight="1">
      <c r="A3" s="216"/>
      <c r="B3" s="217"/>
      <c r="C3" s="218"/>
      <c r="D3" s="219"/>
      <c r="E3" s="220"/>
      <c r="F3" s="221"/>
      <c r="G3" s="222"/>
      <c r="H3" s="223"/>
      <c r="I3" s="224"/>
      <c r="J3" s="223"/>
      <c r="K3" s="225"/>
      <c r="L3" s="226"/>
      <c r="M3" s="128">
        <v>0</v>
      </c>
      <c r="N3" s="128">
        <v>0.33333333333333331</v>
      </c>
      <c r="O3" s="128">
        <v>0</v>
      </c>
    </row>
    <row r="4" spans="1:15" ht="15.75" customHeight="1">
      <c r="A4" s="216"/>
      <c r="B4" s="217"/>
      <c r="C4" s="218"/>
      <c r="D4" s="219"/>
      <c r="E4" s="220"/>
      <c r="F4" s="221"/>
      <c r="G4" s="222"/>
      <c r="H4" s="223"/>
      <c r="I4" s="224"/>
      <c r="J4" s="223"/>
      <c r="K4" s="225"/>
      <c r="L4" s="226"/>
      <c r="M4" s="128">
        <v>0.33333333333333331</v>
      </c>
      <c r="N4" s="128">
        <v>0.66666666666666663</v>
      </c>
      <c r="O4" s="128">
        <v>0.66666666666666663</v>
      </c>
    </row>
    <row r="5" spans="1:15" ht="15.75" customHeight="1">
      <c r="A5" s="216"/>
      <c r="B5" s="217"/>
      <c r="C5" s="218"/>
      <c r="D5" s="219"/>
      <c r="E5" s="220"/>
      <c r="F5" s="221"/>
      <c r="G5" s="222"/>
      <c r="H5" s="223"/>
      <c r="I5" s="224"/>
      <c r="J5" s="223"/>
      <c r="K5" s="225"/>
      <c r="L5" s="226"/>
      <c r="M5" s="128">
        <v>0.33333333333333331</v>
      </c>
      <c r="N5" s="128">
        <v>0.33333333333333331</v>
      </c>
      <c r="O5" s="128">
        <v>0.33333333333333331</v>
      </c>
    </row>
    <row r="6" spans="1:15" ht="15.75" customHeight="1">
      <c r="A6" s="216"/>
      <c r="B6" s="217"/>
      <c r="C6" s="218"/>
      <c r="D6" s="219"/>
      <c r="E6" s="220"/>
      <c r="F6" s="221"/>
      <c r="G6" s="222"/>
      <c r="H6" s="223"/>
      <c r="I6" s="224"/>
      <c r="J6" s="223"/>
      <c r="K6" s="225"/>
      <c r="L6" s="226"/>
      <c r="M6" s="128">
        <v>0</v>
      </c>
      <c r="N6" s="128">
        <v>1.3333333333333333</v>
      </c>
      <c r="O6" s="128">
        <v>1.3333333333333333</v>
      </c>
    </row>
    <row r="7" spans="1:15" ht="15.75" customHeight="1">
      <c r="A7" s="216"/>
      <c r="B7" s="217"/>
      <c r="C7" s="218"/>
      <c r="D7" s="219"/>
      <c r="E7" s="220"/>
      <c r="F7" s="221"/>
      <c r="G7" s="222"/>
      <c r="H7" s="223"/>
      <c r="I7" s="224"/>
      <c r="J7" s="223"/>
      <c r="K7" s="225"/>
      <c r="L7" s="226"/>
      <c r="M7" s="128">
        <v>0</v>
      </c>
      <c r="N7" s="128">
        <v>0.33333333333333331</v>
      </c>
      <c r="O7" s="128">
        <v>1.6666666666666667</v>
      </c>
    </row>
    <row r="8" spans="1:15" ht="15.75" customHeight="1">
      <c r="A8" s="216"/>
      <c r="B8" s="217"/>
      <c r="C8" s="227"/>
      <c r="D8" s="219"/>
      <c r="E8" s="220"/>
      <c r="F8" s="221"/>
      <c r="G8" s="228"/>
      <c r="H8" s="223"/>
      <c r="I8" s="224"/>
      <c r="J8" s="223"/>
      <c r="K8" s="229"/>
      <c r="L8" s="226"/>
      <c r="M8" s="128"/>
      <c r="N8" s="128"/>
      <c r="O8" s="128"/>
    </row>
    <row r="9" spans="1:15" ht="15.75" customHeight="1">
      <c r="A9" s="216"/>
      <c r="B9" s="217"/>
      <c r="C9" s="227"/>
      <c r="D9" s="219"/>
      <c r="E9" s="220"/>
      <c r="F9" s="221"/>
      <c r="G9" s="228"/>
      <c r="H9" s="223"/>
      <c r="I9" s="224"/>
      <c r="J9" s="223"/>
      <c r="K9" s="229"/>
      <c r="L9" s="226"/>
      <c r="M9" s="128"/>
      <c r="N9" s="128"/>
      <c r="O9" s="128"/>
    </row>
    <row r="10" spans="1:15" ht="15.75" customHeight="1">
      <c r="A10" s="216"/>
      <c r="B10" s="217"/>
      <c r="C10" s="227"/>
      <c r="D10" s="219"/>
      <c r="E10" s="220"/>
      <c r="F10" s="221"/>
      <c r="G10" s="228"/>
      <c r="H10" s="223"/>
      <c r="I10" s="224"/>
      <c r="J10" s="223"/>
      <c r="K10" s="229"/>
      <c r="L10" s="226"/>
      <c r="M10" s="128"/>
      <c r="N10" s="128"/>
      <c r="O10" s="128"/>
    </row>
    <row r="11" spans="1:15" ht="15.75" customHeight="1">
      <c r="A11" s="216"/>
      <c r="B11" s="217"/>
      <c r="C11" s="227"/>
      <c r="D11" s="219"/>
      <c r="E11" s="220"/>
      <c r="F11" s="221"/>
      <c r="G11" s="228"/>
      <c r="H11" s="223"/>
      <c r="I11" s="224"/>
      <c r="J11" s="223"/>
      <c r="K11" s="229"/>
      <c r="L11" s="226"/>
      <c r="M11" s="128"/>
      <c r="N11" s="128"/>
      <c r="O11" s="128"/>
    </row>
    <row r="12" spans="1:15" ht="15.75" customHeight="1">
      <c r="A12" s="216"/>
      <c r="B12" s="217"/>
      <c r="C12" s="227"/>
      <c r="D12" s="219"/>
      <c r="E12" s="220"/>
      <c r="F12" s="221"/>
      <c r="G12" s="228"/>
      <c r="H12" s="223"/>
      <c r="I12" s="224"/>
      <c r="J12" s="223"/>
      <c r="K12" s="229"/>
      <c r="L12" s="226"/>
      <c r="M12" s="128"/>
      <c r="N12" s="128"/>
      <c r="O12" s="128"/>
    </row>
    <row r="13" spans="1:15" ht="15.75" customHeight="1">
      <c r="A13" s="216"/>
      <c r="B13" s="217"/>
      <c r="C13" s="227"/>
      <c r="D13" s="219"/>
      <c r="E13" s="220"/>
      <c r="F13" s="221"/>
      <c r="G13" s="228"/>
      <c r="H13" s="223"/>
      <c r="I13" s="224"/>
      <c r="J13" s="223"/>
      <c r="K13" s="229"/>
      <c r="L13" s="226"/>
      <c r="M13" s="128"/>
      <c r="N13" s="128"/>
      <c r="O13" s="128"/>
    </row>
    <row r="14" spans="1:15" ht="15.75" customHeight="1">
      <c r="A14" s="216"/>
      <c r="B14" s="217"/>
      <c r="C14" s="227"/>
      <c r="D14" s="219"/>
      <c r="E14" s="220"/>
      <c r="F14" s="221"/>
      <c r="G14" s="228"/>
      <c r="H14" s="223"/>
      <c r="I14" s="224"/>
      <c r="J14" s="223"/>
      <c r="K14" s="229"/>
      <c r="L14" s="226"/>
      <c r="M14" s="128"/>
      <c r="N14" s="128"/>
      <c r="O14" s="128"/>
    </row>
    <row r="15" spans="1:15" ht="15.75" customHeight="1">
      <c r="A15" s="216"/>
      <c r="B15" s="217"/>
      <c r="C15" s="227"/>
      <c r="D15" s="219"/>
      <c r="E15" s="220"/>
      <c r="F15" s="221"/>
      <c r="G15" s="228"/>
      <c r="H15" s="223"/>
      <c r="I15" s="224"/>
      <c r="J15" s="223"/>
      <c r="K15" s="229"/>
      <c r="L15" s="226"/>
      <c r="M15" s="128"/>
      <c r="N15" s="128"/>
      <c r="O15" s="128"/>
    </row>
    <row r="16" spans="1:15" ht="15.75" customHeight="1">
      <c r="A16" s="216"/>
      <c r="B16" s="217"/>
      <c r="C16" s="227"/>
      <c r="D16" s="219"/>
      <c r="E16" s="220"/>
      <c r="F16" s="221"/>
      <c r="G16" s="228"/>
      <c r="H16" s="223"/>
      <c r="I16" s="224"/>
      <c r="J16" s="223"/>
      <c r="K16" s="229"/>
      <c r="L16" s="226"/>
      <c r="M16" s="128"/>
      <c r="N16" s="128"/>
      <c r="O16" s="128"/>
    </row>
    <row r="17" spans="1:15" ht="15.75" customHeight="1">
      <c r="A17" s="216"/>
      <c r="B17" s="217"/>
      <c r="C17" s="227"/>
      <c r="D17" s="219"/>
      <c r="E17" s="220"/>
      <c r="F17" s="221"/>
      <c r="G17" s="228"/>
      <c r="H17" s="223"/>
      <c r="I17" s="224"/>
      <c r="J17" s="223"/>
      <c r="K17" s="229"/>
      <c r="L17" s="226"/>
      <c r="M17" s="128"/>
      <c r="N17" s="128"/>
      <c r="O17" s="128"/>
    </row>
    <row r="18" spans="1:15" ht="15.75" customHeight="1">
      <c r="A18" s="216"/>
      <c r="B18" s="217"/>
      <c r="C18" s="227"/>
      <c r="D18" s="219"/>
      <c r="E18" s="220"/>
      <c r="F18" s="221"/>
      <c r="G18" s="228"/>
      <c r="H18" s="223"/>
      <c r="I18" s="224"/>
      <c r="J18" s="223"/>
      <c r="K18" s="229"/>
      <c r="L18" s="226"/>
      <c r="M18" s="128"/>
      <c r="N18" s="128"/>
      <c r="O18" s="128"/>
    </row>
    <row r="19" spans="1:15" ht="15.75" customHeight="1">
      <c r="A19" s="216"/>
      <c r="B19" s="217"/>
      <c r="C19" s="227"/>
      <c r="D19" s="219"/>
      <c r="E19" s="220"/>
      <c r="F19" s="221"/>
      <c r="G19" s="228"/>
      <c r="H19" s="223"/>
      <c r="I19" s="224"/>
      <c r="J19" s="223"/>
      <c r="K19" s="229"/>
      <c r="L19" s="226"/>
      <c r="M19" s="128"/>
      <c r="N19" s="128"/>
      <c r="O19" s="128"/>
    </row>
    <row r="20" spans="1:15" ht="15.75" customHeight="1">
      <c r="A20" s="216"/>
      <c r="B20" s="217"/>
      <c r="C20" s="227"/>
      <c r="D20" s="219"/>
      <c r="E20" s="220"/>
      <c r="F20" s="221"/>
      <c r="G20" s="228"/>
      <c r="H20" s="223"/>
      <c r="I20" s="224"/>
      <c r="J20" s="223"/>
      <c r="K20" s="229"/>
      <c r="L20" s="226"/>
      <c r="M20" s="128"/>
      <c r="N20" s="128"/>
      <c r="O20" s="128"/>
    </row>
    <row r="21" spans="1:15" ht="15.75" customHeight="1">
      <c r="A21" s="216"/>
      <c r="B21" s="217"/>
      <c r="C21" s="227"/>
      <c r="D21" s="219"/>
      <c r="E21" s="220"/>
      <c r="F21" s="221"/>
      <c r="G21" s="228"/>
      <c r="H21" s="223"/>
      <c r="I21" s="224"/>
      <c r="J21" s="223"/>
      <c r="K21" s="229"/>
      <c r="L21" s="226"/>
      <c r="M21" s="128"/>
      <c r="N21" s="128"/>
      <c r="O21" s="128"/>
    </row>
    <row r="22" spans="1:15" ht="15.75" customHeight="1">
      <c r="A22" s="216"/>
      <c r="B22" s="217"/>
      <c r="C22" s="227"/>
      <c r="D22" s="219"/>
      <c r="E22" s="220"/>
      <c r="F22" s="221"/>
      <c r="G22" s="228"/>
      <c r="H22" s="223"/>
      <c r="I22" s="224"/>
      <c r="J22" s="223"/>
      <c r="K22" s="229"/>
      <c r="L22" s="226"/>
      <c r="M22" s="128"/>
      <c r="N22" s="128"/>
      <c r="O22" s="128"/>
    </row>
    <row r="23" spans="1:15" ht="15.75" customHeight="1">
      <c r="A23" s="216"/>
      <c r="B23" s="217"/>
      <c r="C23" s="227"/>
      <c r="D23" s="219"/>
      <c r="E23" s="220"/>
      <c r="F23" s="221"/>
      <c r="G23" s="228"/>
      <c r="H23" s="223"/>
      <c r="I23" s="224"/>
      <c r="J23" s="223"/>
      <c r="K23" s="229"/>
      <c r="L23" s="226"/>
      <c r="M23" s="128"/>
      <c r="N23" s="128"/>
      <c r="O23" s="128"/>
    </row>
    <row r="24" spans="1:15" ht="15.75" customHeight="1">
      <c r="A24" s="216"/>
      <c r="B24" s="217"/>
      <c r="C24" s="227"/>
      <c r="D24" s="219"/>
      <c r="E24" s="220"/>
      <c r="F24" s="221"/>
      <c r="G24" s="228"/>
      <c r="H24" s="223"/>
      <c r="I24" s="224"/>
      <c r="J24" s="223"/>
      <c r="K24" s="229"/>
      <c r="L24" s="226"/>
      <c r="M24" s="128"/>
      <c r="N24" s="128"/>
      <c r="O24" s="128"/>
    </row>
    <row r="25" spans="1:15" ht="15.75" customHeight="1">
      <c r="A25" s="216"/>
      <c r="B25" s="217"/>
      <c r="C25" s="227"/>
      <c r="D25" s="219"/>
      <c r="E25" s="220"/>
      <c r="F25" s="221"/>
      <c r="G25" s="228"/>
      <c r="H25" s="223"/>
      <c r="I25" s="224"/>
      <c r="J25" s="223"/>
      <c r="K25" s="229"/>
      <c r="L25" s="226"/>
      <c r="M25" s="128"/>
      <c r="N25" s="128"/>
      <c r="O25" s="128"/>
    </row>
    <row r="26" spans="1:15" ht="15.75" customHeight="1">
      <c r="A26" s="216"/>
      <c r="B26" s="217"/>
      <c r="C26" s="227"/>
      <c r="D26" s="219"/>
      <c r="E26" s="220"/>
      <c r="F26" s="221"/>
      <c r="G26" s="228"/>
      <c r="H26" s="223"/>
      <c r="I26" s="224"/>
      <c r="J26" s="223"/>
      <c r="K26" s="229"/>
      <c r="L26" s="226"/>
      <c r="M26" s="128"/>
      <c r="N26" s="128"/>
      <c r="O26" s="128"/>
    </row>
    <row r="27" spans="1:15" ht="15.75" customHeight="1">
      <c r="A27" s="216"/>
      <c r="B27" s="217"/>
      <c r="C27" s="227"/>
      <c r="D27" s="219"/>
      <c r="E27" s="220"/>
      <c r="F27" s="221"/>
      <c r="G27" s="228"/>
      <c r="H27" s="223"/>
      <c r="I27" s="224"/>
      <c r="J27" s="223"/>
      <c r="K27" s="229"/>
      <c r="L27" s="226"/>
      <c r="M27" s="128"/>
      <c r="N27" s="128"/>
      <c r="O27" s="128"/>
    </row>
    <row r="28" spans="1:15" ht="15.75" customHeight="1">
      <c r="A28" s="216"/>
      <c r="B28" s="217"/>
      <c r="C28" s="227"/>
      <c r="D28" s="219"/>
      <c r="E28" s="220"/>
      <c r="F28" s="221"/>
      <c r="G28" s="228"/>
      <c r="H28" s="223"/>
      <c r="I28" s="224"/>
      <c r="J28" s="223"/>
      <c r="K28" s="229"/>
      <c r="L28" s="226"/>
      <c r="M28" s="128"/>
      <c r="N28" s="128"/>
      <c r="O28" s="128"/>
    </row>
    <row r="29" spans="1:15" ht="15.75" customHeight="1">
      <c r="A29" s="216"/>
      <c r="B29" s="217"/>
      <c r="C29" s="227"/>
      <c r="D29" s="219"/>
      <c r="E29" s="220"/>
      <c r="F29" s="221"/>
      <c r="G29" s="228"/>
      <c r="H29" s="223"/>
      <c r="I29" s="224"/>
      <c r="J29" s="223"/>
      <c r="K29" s="229"/>
      <c r="L29" s="226"/>
      <c r="M29" s="128"/>
      <c r="N29" s="128"/>
      <c r="O29" s="128"/>
    </row>
    <row r="30" spans="1:15" ht="15.75" customHeight="1">
      <c r="A30" s="216"/>
      <c r="B30" s="217"/>
      <c r="C30" s="227"/>
      <c r="D30" s="219"/>
      <c r="E30" s="220"/>
      <c r="F30" s="221"/>
      <c r="G30" s="228"/>
      <c r="H30" s="223"/>
      <c r="I30" s="224"/>
      <c r="J30" s="223"/>
      <c r="K30" s="229"/>
      <c r="L30" s="226"/>
      <c r="M30" s="128"/>
      <c r="N30" s="128"/>
      <c r="O30" s="128"/>
    </row>
    <row r="31" spans="1:15" ht="15.75" customHeight="1">
      <c r="A31" s="216"/>
      <c r="B31" s="217"/>
      <c r="C31" s="227"/>
      <c r="D31" s="219"/>
      <c r="E31" s="220"/>
      <c r="F31" s="221"/>
      <c r="G31" s="228"/>
      <c r="H31" s="223"/>
      <c r="I31" s="224"/>
      <c r="J31" s="223"/>
      <c r="K31" s="229"/>
      <c r="L31" s="226"/>
      <c r="M31" s="128"/>
      <c r="N31" s="128"/>
      <c r="O31" s="128"/>
    </row>
    <row r="32" spans="1:15" ht="15.75" customHeight="1">
      <c r="A32" s="216"/>
      <c r="B32" s="217"/>
      <c r="C32" s="227"/>
      <c r="D32" s="219"/>
      <c r="E32" s="220"/>
      <c r="F32" s="221"/>
      <c r="G32" s="228"/>
      <c r="H32" s="223"/>
      <c r="I32" s="224"/>
      <c r="J32" s="223"/>
      <c r="K32" s="229"/>
      <c r="L32" s="226"/>
      <c r="M32" s="128"/>
      <c r="N32" s="128"/>
      <c r="O32" s="128"/>
    </row>
    <row r="33" spans="1:15" ht="15.75" customHeight="1">
      <c r="A33" s="216"/>
      <c r="B33" s="217"/>
      <c r="C33" s="227"/>
      <c r="D33" s="219"/>
      <c r="E33" s="220"/>
      <c r="F33" s="221"/>
      <c r="G33" s="228"/>
      <c r="H33" s="223"/>
      <c r="I33" s="224"/>
      <c r="J33" s="223"/>
      <c r="K33" s="229"/>
      <c r="L33" s="226"/>
      <c r="M33" s="128"/>
      <c r="N33" s="128"/>
      <c r="O33" s="128"/>
    </row>
    <row r="34" spans="1:15" ht="15.75" customHeight="1">
      <c r="A34" s="216"/>
      <c r="B34" s="217"/>
      <c r="C34" s="227"/>
      <c r="D34" s="219"/>
      <c r="E34" s="220"/>
      <c r="F34" s="221"/>
      <c r="G34" s="228"/>
      <c r="H34" s="223"/>
      <c r="I34" s="224"/>
      <c r="J34" s="223"/>
      <c r="K34" s="229"/>
      <c r="L34" s="226"/>
      <c r="M34" s="128"/>
      <c r="N34" s="128"/>
      <c r="O34" s="128"/>
    </row>
    <row r="35" spans="1:15" ht="15.75" customHeight="1">
      <c r="A35" s="216"/>
      <c r="B35" s="217"/>
      <c r="C35" s="227"/>
      <c r="D35" s="219"/>
      <c r="E35" s="220"/>
      <c r="F35" s="221"/>
      <c r="G35" s="228"/>
      <c r="H35" s="223"/>
      <c r="I35" s="224"/>
      <c r="J35" s="223"/>
      <c r="K35" s="229"/>
      <c r="L35" s="226"/>
      <c r="M35" s="128"/>
      <c r="N35" s="128"/>
      <c r="O35" s="128"/>
    </row>
    <row r="36" spans="1:15" ht="15.75" customHeight="1">
      <c r="A36" s="216"/>
      <c r="B36" s="217"/>
      <c r="C36" s="227"/>
      <c r="D36" s="219"/>
      <c r="E36" s="220"/>
      <c r="F36" s="221"/>
      <c r="G36" s="228"/>
      <c r="H36" s="223"/>
      <c r="I36" s="224"/>
      <c r="J36" s="223"/>
      <c r="K36" s="229"/>
      <c r="L36" s="226"/>
      <c r="M36" s="128"/>
      <c r="N36" s="128"/>
      <c r="O36" s="128"/>
    </row>
    <row r="37" spans="1:15" ht="15.75" customHeight="1">
      <c r="A37" s="216"/>
      <c r="B37" s="217"/>
      <c r="C37" s="227"/>
      <c r="D37" s="219"/>
      <c r="E37" s="220"/>
      <c r="F37" s="221"/>
      <c r="G37" s="228"/>
      <c r="H37" s="223"/>
      <c r="I37" s="224"/>
      <c r="J37" s="223"/>
      <c r="K37" s="229"/>
      <c r="L37" s="226"/>
      <c r="M37" s="128"/>
      <c r="N37" s="128"/>
      <c r="O37" s="128"/>
    </row>
    <row r="38" spans="1:15" ht="15.75" customHeight="1">
      <c r="A38" s="216"/>
      <c r="B38" s="217"/>
      <c r="C38" s="227"/>
      <c r="D38" s="219"/>
      <c r="E38" s="220"/>
      <c r="F38" s="221"/>
      <c r="G38" s="228"/>
      <c r="H38" s="223"/>
      <c r="I38" s="224"/>
      <c r="J38" s="223"/>
      <c r="K38" s="229"/>
      <c r="L38" s="226"/>
      <c r="M38" s="128"/>
      <c r="N38" s="128"/>
      <c r="O38" s="128"/>
    </row>
    <row r="39" spans="1:15" ht="15.75" customHeight="1">
      <c r="A39" s="216"/>
      <c r="B39" s="217"/>
      <c r="C39" s="227"/>
      <c r="D39" s="219"/>
      <c r="E39" s="220"/>
      <c r="F39" s="221"/>
      <c r="G39" s="228"/>
      <c r="H39" s="223"/>
      <c r="I39" s="224"/>
      <c r="J39" s="223"/>
      <c r="K39" s="229"/>
      <c r="L39" s="226"/>
      <c r="M39" s="128"/>
      <c r="N39" s="128"/>
      <c r="O39" s="128"/>
    </row>
    <row r="40" spans="1:15" ht="15.75" customHeight="1">
      <c r="A40" s="216"/>
      <c r="B40" s="217"/>
      <c r="C40" s="227"/>
      <c r="D40" s="219"/>
      <c r="E40" s="220"/>
      <c r="F40" s="221"/>
      <c r="G40" s="228"/>
      <c r="H40" s="223"/>
      <c r="I40" s="224"/>
      <c r="J40" s="223"/>
      <c r="K40" s="229"/>
      <c r="L40" s="226"/>
      <c r="M40" s="128"/>
      <c r="N40" s="128"/>
      <c r="O40" s="128"/>
    </row>
    <row r="41" spans="1:15" ht="15.75" customHeight="1">
      <c r="A41" s="216"/>
      <c r="B41" s="217"/>
      <c r="C41" s="227"/>
      <c r="D41" s="219"/>
      <c r="E41" s="220"/>
      <c r="F41" s="221"/>
      <c r="G41" s="228"/>
      <c r="H41" s="223"/>
      <c r="I41" s="224"/>
      <c r="J41" s="223"/>
      <c r="K41" s="229"/>
      <c r="L41" s="226"/>
      <c r="M41" s="128"/>
      <c r="N41" s="128"/>
      <c r="O41" s="128"/>
    </row>
    <row r="42" spans="1:15" ht="15.75" customHeight="1">
      <c r="A42" s="216"/>
      <c r="B42" s="217"/>
      <c r="C42" s="227"/>
      <c r="D42" s="219"/>
      <c r="E42" s="220"/>
      <c r="F42" s="221"/>
      <c r="G42" s="228"/>
      <c r="H42" s="223"/>
      <c r="I42" s="224"/>
      <c r="J42" s="223"/>
      <c r="K42" s="229"/>
      <c r="L42" s="226"/>
      <c r="M42" s="128"/>
      <c r="N42" s="128"/>
      <c r="O42" s="128"/>
    </row>
    <row r="43" spans="1:15" ht="15.75" customHeight="1">
      <c r="A43" s="216"/>
      <c r="B43" s="217"/>
      <c r="C43" s="227"/>
      <c r="D43" s="219"/>
      <c r="E43" s="220"/>
      <c r="F43" s="221"/>
      <c r="G43" s="228"/>
      <c r="H43" s="223"/>
      <c r="I43" s="224"/>
      <c r="J43" s="223"/>
      <c r="K43" s="229"/>
      <c r="L43" s="226"/>
      <c r="M43" s="128"/>
      <c r="N43" s="128"/>
      <c r="O43" s="128"/>
    </row>
    <row r="44" spans="1:15" ht="15.75" customHeight="1">
      <c r="A44" s="216"/>
      <c r="B44" s="217"/>
      <c r="C44" s="227"/>
      <c r="D44" s="219"/>
      <c r="E44" s="220"/>
      <c r="F44" s="221"/>
      <c r="G44" s="228"/>
      <c r="H44" s="223"/>
      <c r="I44" s="224"/>
      <c r="J44" s="223"/>
      <c r="K44" s="229"/>
      <c r="L44" s="226"/>
      <c r="M44" s="128"/>
      <c r="N44" s="128"/>
      <c r="O44" s="128"/>
    </row>
    <row r="45" spans="1:15" ht="15.75" customHeight="1">
      <c r="A45" s="216"/>
      <c r="B45" s="217"/>
      <c r="C45" s="227"/>
      <c r="D45" s="219"/>
      <c r="E45" s="220"/>
      <c r="F45" s="221"/>
      <c r="G45" s="228"/>
      <c r="H45" s="223"/>
      <c r="I45" s="224"/>
      <c r="J45" s="223"/>
      <c r="K45" s="229"/>
      <c r="L45" s="226"/>
      <c r="M45" s="128"/>
      <c r="N45" s="128"/>
      <c r="O45" s="128"/>
    </row>
    <row r="46" spans="1:15" ht="15.75" customHeight="1">
      <c r="A46" s="216"/>
      <c r="B46" s="217"/>
      <c r="C46" s="227"/>
      <c r="D46" s="219"/>
      <c r="E46" s="220"/>
      <c r="F46" s="221"/>
      <c r="G46" s="228"/>
      <c r="H46" s="223"/>
      <c r="I46" s="224"/>
      <c r="J46" s="223"/>
      <c r="K46" s="229"/>
      <c r="L46" s="226"/>
      <c r="M46" s="128"/>
      <c r="N46" s="128"/>
      <c r="O46" s="128"/>
    </row>
    <row r="47" spans="1:15" ht="15.75" customHeight="1">
      <c r="A47" s="216"/>
      <c r="B47" s="217"/>
      <c r="C47" s="227"/>
      <c r="D47" s="219"/>
      <c r="E47" s="220"/>
      <c r="F47" s="221"/>
      <c r="G47" s="228"/>
      <c r="H47" s="223"/>
      <c r="I47" s="224"/>
      <c r="J47" s="223"/>
      <c r="K47" s="229"/>
      <c r="L47" s="226"/>
      <c r="M47" s="128"/>
      <c r="N47" s="128"/>
      <c r="O47" s="128"/>
    </row>
    <row r="48" spans="1:15" ht="15.75" customHeight="1">
      <c r="A48" s="216"/>
      <c r="B48" s="217"/>
      <c r="C48" s="227"/>
      <c r="D48" s="219"/>
      <c r="E48" s="220"/>
      <c r="F48" s="221"/>
      <c r="G48" s="228"/>
      <c r="H48" s="223"/>
      <c r="I48" s="224"/>
      <c r="J48" s="223"/>
      <c r="K48" s="229"/>
      <c r="L48" s="226"/>
      <c r="M48" s="128"/>
      <c r="N48" s="128"/>
      <c r="O48" s="128"/>
    </row>
    <row r="49" spans="1:15" ht="15.75" customHeight="1">
      <c r="A49" s="216"/>
      <c r="B49" s="217"/>
      <c r="C49" s="227"/>
      <c r="D49" s="219"/>
      <c r="E49" s="220"/>
      <c r="F49" s="221"/>
      <c r="G49" s="228"/>
      <c r="H49" s="223"/>
      <c r="I49" s="224"/>
      <c r="J49" s="223"/>
      <c r="K49" s="229"/>
      <c r="L49" s="226"/>
      <c r="M49" s="128"/>
      <c r="N49" s="128"/>
      <c r="O49" s="128"/>
    </row>
    <row r="50" spans="1:15" ht="15.75" customHeight="1">
      <c r="A50" s="216"/>
      <c r="B50" s="217"/>
      <c r="C50" s="227"/>
      <c r="D50" s="219"/>
      <c r="E50" s="220"/>
      <c r="F50" s="221"/>
      <c r="G50" s="228"/>
      <c r="H50" s="223"/>
      <c r="I50" s="224"/>
      <c r="J50" s="223"/>
      <c r="K50" s="229"/>
      <c r="L50" s="226"/>
      <c r="M50" s="128"/>
      <c r="N50" s="128"/>
      <c r="O50" s="128"/>
    </row>
    <row r="51" spans="1:15" ht="15.75" customHeight="1">
      <c r="A51" s="216"/>
      <c r="B51" s="217"/>
      <c r="C51" s="227"/>
      <c r="D51" s="219"/>
      <c r="E51" s="220"/>
      <c r="F51" s="221"/>
      <c r="G51" s="228"/>
      <c r="H51" s="223"/>
      <c r="I51" s="224"/>
      <c r="J51" s="223"/>
      <c r="K51" s="229"/>
      <c r="L51" s="226"/>
      <c r="M51" s="128"/>
      <c r="N51" s="128"/>
      <c r="O51" s="128"/>
    </row>
    <row r="52" spans="1:15">
      <c r="A52" s="216"/>
      <c r="B52" s="217"/>
      <c r="C52" s="227"/>
      <c r="D52" s="219"/>
      <c r="E52" s="220"/>
      <c r="F52" s="221"/>
      <c r="G52" s="228"/>
      <c r="H52" s="223"/>
      <c r="I52" s="224"/>
      <c r="J52" s="223"/>
      <c r="K52" s="229"/>
      <c r="L52" s="226"/>
      <c r="M52" s="128"/>
      <c r="N52" s="128"/>
      <c r="O52" s="128"/>
    </row>
    <row r="53" spans="1:15">
      <c r="A53" s="216"/>
      <c r="B53" s="217"/>
      <c r="C53" s="227"/>
      <c r="D53" s="219"/>
      <c r="E53" s="220"/>
      <c r="F53" s="221"/>
      <c r="G53" s="228"/>
      <c r="H53" s="223"/>
      <c r="I53" s="224"/>
      <c r="J53" s="223"/>
      <c r="K53" s="229"/>
      <c r="L53" s="226"/>
      <c r="M53" s="128"/>
      <c r="N53" s="128"/>
      <c r="O53" s="128"/>
    </row>
    <row r="54" spans="1:15">
      <c r="A54" s="216"/>
      <c r="B54" s="217"/>
      <c r="C54" s="227"/>
      <c r="D54" s="219"/>
      <c r="E54" s="220"/>
      <c r="F54" s="221"/>
      <c r="G54" s="228"/>
      <c r="H54" s="223"/>
      <c r="I54" s="224"/>
      <c r="J54" s="223"/>
      <c r="K54" s="229"/>
      <c r="L54" s="226"/>
      <c r="M54" s="128"/>
      <c r="N54" s="128"/>
      <c r="O54" s="128"/>
    </row>
    <row r="55" spans="1:15">
      <c r="A55" s="216"/>
      <c r="B55" s="217"/>
      <c r="C55" s="227"/>
      <c r="D55" s="219"/>
      <c r="E55" s="220"/>
      <c r="F55" s="221"/>
      <c r="G55" s="228"/>
      <c r="H55" s="223"/>
      <c r="I55" s="224"/>
      <c r="J55" s="223"/>
      <c r="K55" s="229"/>
      <c r="L55" s="226"/>
      <c r="M55" s="128"/>
      <c r="N55" s="128"/>
      <c r="O55" s="128"/>
    </row>
    <row r="56" spans="1:15">
      <c r="A56" s="216"/>
      <c r="B56" s="217"/>
      <c r="C56" s="227"/>
      <c r="D56" s="219"/>
      <c r="E56" s="220"/>
      <c r="F56" s="221"/>
      <c r="G56" s="228"/>
      <c r="H56" s="223"/>
      <c r="I56" s="224"/>
      <c r="J56" s="223"/>
      <c r="K56" s="229"/>
      <c r="L56" s="226"/>
      <c r="M56" s="128"/>
      <c r="N56" s="128"/>
      <c r="O56" s="128"/>
    </row>
    <row r="57" spans="1:15">
      <c r="A57" s="216"/>
      <c r="B57" s="217"/>
      <c r="C57" s="227"/>
      <c r="D57" s="219"/>
      <c r="E57" s="220"/>
      <c r="F57" s="221"/>
      <c r="G57" s="228"/>
      <c r="H57" s="223"/>
      <c r="I57" s="224"/>
      <c r="J57" s="223"/>
      <c r="K57" s="229"/>
      <c r="L57" s="226"/>
      <c r="M57" s="128"/>
      <c r="N57" s="128"/>
      <c r="O57" s="128"/>
    </row>
    <row r="58" spans="1:15">
      <c r="A58" s="216"/>
      <c r="B58" s="217"/>
      <c r="C58" s="227"/>
      <c r="D58" s="219"/>
      <c r="E58" s="220"/>
      <c r="F58" s="221"/>
      <c r="G58" s="228"/>
      <c r="H58" s="223"/>
      <c r="I58" s="224"/>
      <c r="J58" s="223"/>
      <c r="K58" s="229"/>
      <c r="L58" s="226"/>
      <c r="M58" s="128"/>
      <c r="N58" s="128"/>
      <c r="O58" s="128"/>
    </row>
    <row r="59" spans="1:15">
      <c r="A59" s="216"/>
      <c r="B59" s="217"/>
      <c r="C59" s="227"/>
      <c r="D59" s="219"/>
      <c r="E59" s="220"/>
      <c r="F59" s="221"/>
      <c r="G59" s="228"/>
      <c r="H59" s="223"/>
      <c r="I59" s="224"/>
      <c r="J59" s="223"/>
      <c r="K59" s="229"/>
      <c r="L59" s="226"/>
      <c r="M59" s="128"/>
      <c r="N59" s="128"/>
      <c r="O59" s="128"/>
    </row>
    <row r="60" spans="1:15">
      <c r="A60" s="216"/>
      <c r="B60" s="217"/>
      <c r="C60" s="227"/>
      <c r="D60" s="219"/>
      <c r="E60" s="220"/>
      <c r="F60" s="221"/>
      <c r="G60" s="228"/>
      <c r="H60" s="223"/>
      <c r="I60" s="224"/>
      <c r="J60" s="223"/>
      <c r="K60" s="229"/>
      <c r="L60" s="226"/>
      <c r="M60" s="128"/>
      <c r="N60" s="128"/>
      <c r="O60" s="128"/>
    </row>
    <row r="61" spans="1:15">
      <c r="A61" s="216"/>
      <c r="B61" s="217"/>
      <c r="C61" s="227"/>
      <c r="D61" s="219"/>
      <c r="E61" s="220"/>
      <c r="F61" s="221"/>
      <c r="G61" s="228"/>
      <c r="H61" s="223"/>
      <c r="I61" s="224"/>
      <c r="J61" s="223"/>
      <c r="K61" s="229"/>
      <c r="L61" s="226"/>
      <c r="M61" s="128"/>
      <c r="N61" s="128"/>
      <c r="O61" s="128"/>
    </row>
    <row r="62" spans="1:15">
      <c r="A62" s="216"/>
      <c r="B62" s="217"/>
      <c r="C62" s="227"/>
      <c r="D62" s="219"/>
      <c r="E62" s="220"/>
      <c r="F62" s="221"/>
      <c r="G62" s="228"/>
      <c r="H62" s="223"/>
      <c r="I62" s="224"/>
      <c r="J62" s="223"/>
      <c r="K62" s="229"/>
      <c r="L62" s="226"/>
      <c r="M62" s="128"/>
      <c r="N62" s="128"/>
      <c r="O62" s="128"/>
    </row>
    <row r="63" spans="1:15">
      <c r="A63" s="216"/>
      <c r="B63" s="217"/>
      <c r="C63" s="227"/>
      <c r="D63" s="219"/>
      <c r="E63" s="220"/>
      <c r="F63" s="221"/>
      <c r="G63" s="228"/>
      <c r="H63" s="223"/>
      <c r="I63" s="224"/>
      <c r="J63" s="223"/>
      <c r="K63" s="229"/>
      <c r="L63" s="226"/>
      <c r="M63" s="128"/>
      <c r="N63" s="128"/>
      <c r="O63" s="128"/>
    </row>
    <row r="64" spans="1:15">
      <c r="A64" s="216"/>
      <c r="B64" s="217"/>
      <c r="C64" s="227"/>
      <c r="D64" s="219"/>
      <c r="E64" s="220"/>
      <c r="F64" s="221"/>
      <c r="G64" s="228"/>
      <c r="H64" s="223"/>
      <c r="I64" s="224"/>
      <c r="J64" s="223"/>
      <c r="K64" s="229"/>
      <c r="L64" s="226"/>
      <c r="M64" s="128"/>
      <c r="N64" s="128"/>
      <c r="O64" s="128"/>
    </row>
    <row r="65" spans="1:15">
      <c r="A65" s="216"/>
      <c r="B65" s="217"/>
      <c r="C65" s="227"/>
      <c r="D65" s="219"/>
      <c r="E65" s="220"/>
      <c r="F65" s="221"/>
      <c r="G65" s="228"/>
      <c r="H65" s="223"/>
      <c r="I65" s="224"/>
      <c r="J65" s="223"/>
      <c r="K65" s="229"/>
      <c r="L65" s="226"/>
      <c r="M65" s="128"/>
      <c r="N65" s="128"/>
      <c r="O65" s="128"/>
    </row>
    <row r="66" spans="1:15">
      <c r="A66" s="216"/>
      <c r="B66" s="217"/>
      <c r="C66" s="227"/>
      <c r="D66" s="219"/>
      <c r="E66" s="220"/>
      <c r="F66" s="221"/>
      <c r="G66" s="228"/>
      <c r="H66" s="223"/>
      <c r="I66" s="224"/>
      <c r="J66" s="223"/>
      <c r="K66" s="229"/>
      <c r="L66" s="226"/>
      <c r="M66" s="128"/>
      <c r="N66" s="128"/>
      <c r="O66" s="128"/>
    </row>
    <row r="67" spans="1:15">
      <c r="A67" s="216"/>
      <c r="B67" s="217"/>
      <c r="C67" s="227"/>
      <c r="D67" s="219"/>
      <c r="E67" s="220"/>
      <c r="F67" s="221"/>
      <c r="G67" s="228"/>
      <c r="H67" s="223"/>
      <c r="I67" s="224"/>
      <c r="J67" s="223"/>
      <c r="K67" s="229"/>
      <c r="L67" s="226"/>
      <c r="M67" s="128"/>
      <c r="N67" s="128"/>
      <c r="O67" s="128"/>
    </row>
    <row r="68" spans="1:15">
      <c r="A68" s="230"/>
      <c r="B68" s="217"/>
      <c r="C68" s="227"/>
      <c r="D68" s="219"/>
      <c r="E68" s="220"/>
      <c r="F68" s="221"/>
      <c r="G68" s="228"/>
      <c r="H68" s="223"/>
      <c r="I68" s="224"/>
      <c r="J68" s="223"/>
      <c r="K68" s="229"/>
      <c r="L68" s="226"/>
      <c r="M68" s="128"/>
      <c r="N68" s="128"/>
      <c r="O68" s="128"/>
    </row>
    <row r="69" spans="1:15">
      <c r="A69" s="231"/>
      <c r="B69" s="217"/>
      <c r="C69" s="227"/>
      <c r="D69" s="219"/>
      <c r="E69" s="220"/>
      <c r="F69" s="221"/>
      <c r="G69" s="228"/>
      <c r="H69" s="223"/>
      <c r="I69" s="224"/>
      <c r="J69" s="223"/>
      <c r="K69" s="229"/>
      <c r="L69" s="226"/>
      <c r="M69" s="128"/>
      <c r="N69" s="128"/>
      <c r="O69" s="128"/>
    </row>
    <row r="70" spans="1:15">
      <c r="A70" s="230"/>
      <c r="B70" s="217"/>
      <c r="C70" s="227"/>
      <c r="D70" s="219"/>
      <c r="E70" s="220"/>
      <c r="F70" s="221"/>
      <c r="G70" s="228"/>
      <c r="H70" s="223"/>
      <c r="I70" s="224"/>
      <c r="J70" s="223"/>
      <c r="K70" s="229"/>
      <c r="L70" s="226"/>
      <c r="M70" s="128"/>
      <c r="N70" s="128"/>
      <c r="O70" s="128"/>
    </row>
    <row r="71" spans="1:15">
      <c r="A71" s="230"/>
      <c r="B71" s="217"/>
      <c r="C71" s="227"/>
      <c r="D71" s="219"/>
      <c r="E71" s="220"/>
      <c r="F71" s="221"/>
      <c r="G71" s="228"/>
      <c r="H71" s="223"/>
      <c r="I71" s="224"/>
      <c r="J71" s="223"/>
      <c r="K71" s="229"/>
      <c r="L71" s="226"/>
      <c r="M71" s="128"/>
      <c r="N71" s="128"/>
      <c r="O71" s="128"/>
    </row>
    <row r="72" spans="1:15">
      <c r="A72" s="230"/>
      <c r="B72" s="217"/>
      <c r="C72" s="227"/>
      <c r="D72" s="219"/>
      <c r="E72" s="220"/>
      <c r="F72" s="221"/>
      <c r="G72" s="228"/>
      <c r="H72" s="223"/>
      <c r="I72" s="224"/>
      <c r="J72" s="223"/>
      <c r="K72" s="229"/>
      <c r="L72" s="226"/>
      <c r="M72" s="128"/>
      <c r="N72" s="128"/>
      <c r="O72" s="128"/>
    </row>
    <row r="73" spans="1:15">
      <c r="A73" s="230"/>
      <c r="B73" s="217"/>
      <c r="C73" s="227"/>
      <c r="D73" s="219"/>
      <c r="E73" s="220"/>
      <c r="F73" s="221"/>
      <c r="G73" s="228"/>
      <c r="H73" s="223"/>
      <c r="I73" s="224"/>
      <c r="J73" s="223"/>
      <c r="K73" s="229"/>
      <c r="L73" s="226"/>
      <c r="M73" s="128"/>
      <c r="N73" s="128"/>
      <c r="O73" s="128"/>
    </row>
    <row r="74" spans="1:15">
      <c r="A74" s="230"/>
      <c r="B74" s="217"/>
      <c r="C74" s="227"/>
      <c r="D74" s="219"/>
      <c r="E74" s="220"/>
      <c r="F74" s="221"/>
      <c r="G74" s="228"/>
      <c r="H74" s="223"/>
      <c r="I74" s="224"/>
      <c r="J74" s="223"/>
      <c r="K74" s="229"/>
      <c r="L74" s="226"/>
      <c r="M74" s="128"/>
      <c r="N74" s="128"/>
      <c r="O74" s="128"/>
    </row>
    <row r="75" spans="1:15">
      <c r="A75" s="230"/>
      <c r="B75" s="217"/>
      <c r="C75" s="227"/>
      <c r="D75" s="219"/>
      <c r="E75" s="220"/>
      <c r="F75" s="221"/>
      <c r="G75" s="228"/>
      <c r="H75" s="223"/>
      <c r="I75" s="224"/>
      <c r="J75" s="223"/>
      <c r="K75" s="229"/>
      <c r="L75" s="226"/>
      <c r="M75" s="128"/>
      <c r="N75" s="128"/>
      <c r="O75" s="128"/>
    </row>
    <row r="76" spans="1:15">
      <c r="A76" s="230"/>
      <c r="B76" s="217"/>
      <c r="C76" s="227"/>
      <c r="D76" s="219"/>
      <c r="E76" s="220"/>
      <c r="F76" s="221"/>
      <c r="G76" s="228"/>
      <c r="H76" s="223"/>
      <c r="I76" s="224"/>
      <c r="J76" s="223"/>
      <c r="K76" s="229"/>
      <c r="L76" s="226"/>
      <c r="M76" s="128"/>
      <c r="N76" s="128"/>
      <c r="O76" s="128"/>
    </row>
    <row r="77" spans="1:15">
      <c r="A77" s="230"/>
      <c r="B77" s="217"/>
      <c r="C77" s="227"/>
      <c r="D77" s="219"/>
      <c r="E77" s="220"/>
      <c r="F77" s="221"/>
      <c r="G77" s="228"/>
      <c r="H77" s="223"/>
      <c r="I77" s="224"/>
      <c r="J77" s="223"/>
      <c r="K77" s="229"/>
      <c r="L77" s="226"/>
      <c r="M77" s="128"/>
      <c r="N77" s="128"/>
      <c r="O77" s="128"/>
    </row>
    <row r="78" spans="1:15">
      <c r="A78" s="230"/>
      <c r="B78" s="217"/>
      <c r="C78" s="227"/>
      <c r="D78" s="219"/>
      <c r="E78" s="220"/>
      <c r="F78" s="221"/>
      <c r="G78" s="228"/>
      <c r="H78" s="223"/>
      <c r="I78" s="224"/>
      <c r="J78" s="223"/>
      <c r="K78" s="229"/>
      <c r="L78" s="226"/>
      <c r="M78" s="128"/>
      <c r="N78" s="128"/>
      <c r="O78" s="128"/>
    </row>
    <row r="79" spans="1:15">
      <c r="A79" s="230"/>
      <c r="B79" s="217"/>
      <c r="C79" s="227"/>
      <c r="D79" s="219"/>
      <c r="E79" s="220"/>
      <c r="F79" s="221"/>
      <c r="G79" s="228"/>
      <c r="H79" s="223"/>
      <c r="I79" s="224"/>
      <c r="J79" s="223"/>
      <c r="K79" s="229"/>
      <c r="L79" s="226"/>
      <c r="M79" s="128"/>
      <c r="N79" s="128"/>
      <c r="O79" s="128"/>
    </row>
    <row r="80" spans="1:15">
      <c r="A80" s="230"/>
      <c r="B80" s="217"/>
      <c r="C80" s="227"/>
      <c r="D80" s="219"/>
      <c r="E80" s="220"/>
      <c r="F80" s="221"/>
      <c r="G80" s="228"/>
      <c r="H80" s="223"/>
      <c r="I80" s="224"/>
      <c r="J80" s="223"/>
      <c r="K80" s="229"/>
      <c r="L80" s="226"/>
      <c r="M80" s="128"/>
      <c r="N80" s="128"/>
      <c r="O80" s="128"/>
    </row>
    <row r="81" spans="1:15">
      <c r="A81" s="230"/>
      <c r="B81" s="217"/>
      <c r="C81" s="227"/>
      <c r="D81" s="219"/>
      <c r="E81" s="220"/>
      <c r="F81" s="221"/>
      <c r="G81" s="228"/>
      <c r="H81" s="223"/>
      <c r="I81" s="224"/>
      <c r="J81" s="223"/>
      <c r="K81" s="229"/>
      <c r="L81" s="226"/>
      <c r="M81" s="128"/>
      <c r="N81" s="128"/>
      <c r="O81" s="128"/>
    </row>
    <row r="82" spans="1:15">
      <c r="A82" s="230"/>
      <c r="B82" s="217"/>
      <c r="C82" s="227"/>
      <c r="D82" s="219"/>
      <c r="E82" s="220"/>
      <c r="F82" s="221"/>
      <c r="G82" s="228"/>
      <c r="H82" s="223"/>
      <c r="I82" s="224"/>
      <c r="J82" s="223"/>
      <c r="K82" s="229"/>
      <c r="L82" s="226"/>
      <c r="M82" s="128"/>
      <c r="N82" s="128"/>
      <c r="O82" s="128"/>
    </row>
    <row r="83" spans="1:15">
      <c r="A83" s="230"/>
      <c r="B83" s="217"/>
      <c r="C83" s="227"/>
      <c r="D83" s="219"/>
      <c r="E83" s="220"/>
      <c r="F83" s="221"/>
      <c r="G83" s="228"/>
      <c r="H83" s="223"/>
      <c r="I83" s="224"/>
      <c r="J83" s="223"/>
      <c r="K83" s="229"/>
      <c r="L83" s="226"/>
      <c r="M83" s="128"/>
      <c r="N83" s="128"/>
      <c r="O83" s="128"/>
    </row>
    <row r="84" spans="1:15">
      <c r="A84" s="230"/>
      <c r="B84" s="217"/>
      <c r="C84" s="227"/>
      <c r="D84" s="219"/>
      <c r="E84" s="220"/>
      <c r="F84" s="221"/>
      <c r="G84" s="228"/>
      <c r="H84" s="223"/>
      <c r="I84" s="224"/>
      <c r="J84" s="223"/>
      <c r="K84" s="229"/>
      <c r="L84" s="226"/>
      <c r="M84" s="128"/>
      <c r="N84" s="128"/>
      <c r="O84" s="128"/>
    </row>
    <row r="85" spans="1:15">
      <c r="A85" s="230"/>
      <c r="B85" s="217"/>
      <c r="C85" s="227"/>
      <c r="D85" s="219"/>
      <c r="E85" s="220"/>
      <c r="F85" s="221"/>
      <c r="G85" s="228"/>
      <c r="H85" s="223"/>
      <c r="I85" s="224"/>
      <c r="J85" s="223"/>
      <c r="K85" s="229"/>
      <c r="L85" s="226"/>
      <c r="M85" s="128"/>
      <c r="N85" s="128"/>
      <c r="O85" s="128"/>
    </row>
    <row r="86" spans="1:15">
      <c r="A86" s="230"/>
      <c r="B86" s="217"/>
      <c r="C86" s="227"/>
      <c r="D86" s="219"/>
      <c r="E86" s="220"/>
      <c r="F86" s="221"/>
      <c r="G86" s="228"/>
      <c r="H86" s="223"/>
      <c r="I86" s="224"/>
      <c r="J86" s="223"/>
      <c r="K86" s="229"/>
      <c r="L86" s="226"/>
      <c r="M86" s="128"/>
      <c r="N86" s="128"/>
      <c r="O86" s="128"/>
    </row>
    <row r="87" spans="1:15">
      <c r="A87" s="230"/>
      <c r="B87" s="217"/>
      <c r="C87" s="227"/>
      <c r="D87" s="219"/>
      <c r="E87" s="220"/>
      <c r="F87" s="221"/>
      <c r="G87" s="228"/>
      <c r="H87" s="223"/>
      <c r="I87" s="224"/>
      <c r="J87" s="223"/>
      <c r="K87" s="229"/>
      <c r="L87" s="226"/>
      <c r="M87" s="128"/>
      <c r="N87" s="128"/>
      <c r="O87" s="128"/>
    </row>
    <row r="88" spans="1:15">
      <c r="A88" s="230"/>
      <c r="B88" s="217"/>
      <c r="C88" s="227"/>
      <c r="D88" s="219"/>
      <c r="E88" s="220"/>
      <c r="F88" s="221"/>
      <c r="G88" s="228"/>
      <c r="H88" s="223"/>
      <c r="I88" s="224"/>
      <c r="J88" s="223"/>
      <c r="K88" s="229"/>
      <c r="L88" s="226"/>
      <c r="M88" s="128"/>
      <c r="N88" s="128"/>
      <c r="O88" s="128"/>
    </row>
    <row r="89" spans="1:15">
      <c r="A89" s="230"/>
      <c r="B89" s="217"/>
      <c r="C89" s="227"/>
      <c r="D89" s="219"/>
      <c r="E89" s="220"/>
      <c r="F89" s="221"/>
      <c r="G89" s="228"/>
      <c r="H89" s="223"/>
      <c r="I89" s="224"/>
      <c r="J89" s="223"/>
      <c r="K89" s="229"/>
      <c r="L89" s="226"/>
      <c r="M89" s="128"/>
      <c r="N89" s="128"/>
      <c r="O89" s="128"/>
    </row>
    <row r="90" spans="1:15">
      <c r="A90" s="232"/>
      <c r="B90" s="217"/>
      <c r="C90" s="227"/>
      <c r="D90" s="219"/>
      <c r="E90" s="220"/>
      <c r="F90" s="221"/>
      <c r="G90" s="228"/>
      <c r="H90" s="223"/>
      <c r="I90" s="224"/>
      <c r="J90" s="223"/>
      <c r="K90" s="229"/>
      <c r="L90" s="226"/>
      <c r="M90" s="128"/>
      <c r="N90" s="128"/>
      <c r="O90" s="128"/>
    </row>
    <row r="91" spans="1:15">
      <c r="A91" s="232"/>
      <c r="B91" s="217"/>
      <c r="C91" s="227"/>
      <c r="D91" s="219"/>
      <c r="E91" s="220"/>
      <c r="F91" s="221"/>
      <c r="G91" s="228"/>
      <c r="H91" s="223"/>
      <c r="I91" s="224"/>
      <c r="J91" s="223"/>
      <c r="K91" s="229"/>
      <c r="L91" s="226"/>
      <c r="M91" s="128"/>
      <c r="N91" s="128"/>
      <c r="O91" s="128"/>
    </row>
    <row r="92" spans="1:15">
      <c r="A92" s="232"/>
      <c r="B92" s="217"/>
      <c r="C92" s="227"/>
      <c r="D92" s="219"/>
      <c r="E92" s="220"/>
      <c r="F92" s="221"/>
      <c r="G92" s="228"/>
      <c r="H92" s="223"/>
      <c r="I92" s="224"/>
      <c r="J92" s="223"/>
      <c r="K92" s="229"/>
      <c r="L92" s="226"/>
      <c r="M92" s="128"/>
      <c r="N92" s="128"/>
      <c r="O92" s="128"/>
    </row>
    <row r="93" spans="1:15">
      <c r="A93" s="232"/>
      <c r="B93" s="217"/>
      <c r="C93" s="227"/>
      <c r="D93" s="219"/>
      <c r="E93" s="220"/>
      <c r="F93" s="221"/>
      <c r="G93" s="228"/>
      <c r="H93" s="223"/>
      <c r="I93" s="224"/>
      <c r="J93" s="223"/>
      <c r="K93" s="229"/>
      <c r="L93" s="226"/>
      <c r="M93" s="128"/>
      <c r="N93" s="128"/>
      <c r="O93" s="128"/>
    </row>
    <row r="94" spans="1:15">
      <c r="A94" s="232"/>
      <c r="B94" s="217"/>
      <c r="C94" s="227"/>
      <c r="D94" s="219"/>
      <c r="E94" s="220"/>
      <c r="F94" s="221"/>
      <c r="G94" s="228"/>
      <c r="H94" s="223"/>
      <c r="I94" s="224"/>
      <c r="J94" s="223"/>
      <c r="K94" s="229"/>
      <c r="L94" s="226"/>
      <c r="M94" s="128"/>
      <c r="N94" s="128"/>
      <c r="O94" s="128"/>
    </row>
    <row r="95" spans="1:15">
      <c r="A95" s="232"/>
      <c r="B95" s="217"/>
      <c r="C95" s="227"/>
      <c r="D95" s="219"/>
      <c r="E95" s="220"/>
      <c r="F95" s="221"/>
      <c r="G95" s="228"/>
      <c r="H95" s="223"/>
      <c r="I95" s="224"/>
      <c r="J95" s="223"/>
      <c r="K95" s="229"/>
      <c r="L95" s="226"/>
      <c r="M95" s="128"/>
      <c r="N95" s="128"/>
      <c r="O95" s="128"/>
    </row>
    <row r="96" spans="1:15">
      <c r="A96" s="232"/>
      <c r="B96" s="217"/>
      <c r="C96" s="227"/>
      <c r="D96" s="219"/>
      <c r="E96" s="220"/>
      <c r="F96" s="221"/>
      <c r="G96" s="228"/>
      <c r="H96" s="223"/>
      <c r="I96" s="224"/>
      <c r="J96" s="223"/>
      <c r="K96" s="229"/>
      <c r="L96" s="226"/>
      <c r="M96" s="128"/>
      <c r="N96" s="128"/>
      <c r="O96" s="128"/>
    </row>
    <row r="97" spans="1:15">
      <c r="A97" s="232"/>
      <c r="B97" s="217"/>
      <c r="C97" s="227"/>
      <c r="D97" s="219"/>
      <c r="E97" s="220"/>
      <c r="F97" s="221"/>
      <c r="G97" s="228"/>
      <c r="H97" s="223"/>
      <c r="I97" s="224"/>
      <c r="J97" s="223"/>
      <c r="K97" s="229"/>
      <c r="L97" s="226"/>
      <c r="M97" s="128"/>
      <c r="N97" s="128"/>
      <c r="O97" s="128"/>
    </row>
    <row r="98" spans="1:15">
      <c r="A98" s="232"/>
      <c r="B98" s="217"/>
      <c r="C98" s="227"/>
      <c r="D98" s="219"/>
      <c r="E98" s="220"/>
      <c r="F98" s="221"/>
      <c r="G98" s="228"/>
      <c r="H98" s="223"/>
      <c r="I98" s="224"/>
      <c r="J98" s="223"/>
      <c r="K98" s="229"/>
      <c r="L98" s="226"/>
      <c r="M98" s="128"/>
      <c r="N98" s="128"/>
      <c r="O98" s="128"/>
    </row>
    <row r="99" spans="1:15">
      <c r="A99" s="232"/>
      <c r="B99" s="217"/>
      <c r="C99" s="227"/>
      <c r="D99" s="219"/>
      <c r="E99" s="220"/>
      <c r="F99" s="221"/>
      <c r="G99" s="228"/>
      <c r="H99" s="223"/>
      <c r="I99" s="224"/>
      <c r="J99" s="223"/>
      <c r="K99" s="229"/>
      <c r="L99" s="226"/>
      <c r="M99" s="128"/>
      <c r="N99" s="128"/>
      <c r="O99" s="128"/>
    </row>
    <row r="100" spans="1:15">
      <c r="A100" s="232"/>
      <c r="B100" s="217"/>
      <c r="C100" s="227"/>
      <c r="D100" s="219"/>
      <c r="E100" s="220"/>
      <c r="F100" s="221"/>
      <c r="G100" s="228"/>
      <c r="H100" s="223"/>
      <c r="I100" s="224"/>
      <c r="J100" s="223"/>
      <c r="K100" s="229"/>
      <c r="L100" s="226"/>
      <c r="M100" s="128"/>
      <c r="N100" s="128"/>
      <c r="O100" s="128"/>
    </row>
    <row r="101" spans="1:15">
      <c r="A101" s="232"/>
      <c r="B101" s="217"/>
      <c r="C101" s="227"/>
      <c r="D101" s="219"/>
      <c r="E101" s="220"/>
      <c r="F101" s="221"/>
      <c r="G101" s="228"/>
      <c r="H101" s="223"/>
      <c r="I101" s="224"/>
      <c r="J101" s="223"/>
      <c r="K101" s="229"/>
      <c r="L101" s="226"/>
      <c r="M101" s="128"/>
      <c r="N101" s="128"/>
      <c r="O101" s="128"/>
    </row>
    <row r="102" spans="1:15">
      <c r="A102" s="232"/>
      <c r="B102" s="217"/>
      <c r="C102" s="227"/>
      <c r="D102" s="219"/>
      <c r="E102" s="220"/>
      <c r="F102" s="221"/>
      <c r="G102" s="228"/>
      <c r="H102" s="223"/>
      <c r="I102" s="224"/>
      <c r="J102" s="223"/>
      <c r="K102" s="229"/>
      <c r="L102" s="226"/>
      <c r="M102" s="128"/>
      <c r="N102" s="128"/>
      <c r="O102" s="128"/>
    </row>
    <row r="103" spans="1:15">
      <c r="A103" s="232"/>
      <c r="B103" s="217"/>
      <c r="C103" s="227"/>
      <c r="D103" s="219"/>
      <c r="E103" s="220"/>
      <c r="F103" s="221"/>
      <c r="G103" s="228"/>
      <c r="H103" s="223"/>
      <c r="I103" s="224"/>
      <c r="J103" s="223"/>
      <c r="K103" s="229"/>
      <c r="L103" s="226"/>
      <c r="M103" s="128"/>
      <c r="N103" s="128"/>
      <c r="O103" s="128"/>
    </row>
    <row r="104" spans="1:15">
      <c r="A104" s="232"/>
      <c r="B104" s="217"/>
      <c r="C104" s="227"/>
      <c r="D104" s="219"/>
      <c r="E104" s="220"/>
      <c r="F104" s="221"/>
      <c r="G104" s="228"/>
      <c r="H104" s="223"/>
      <c r="I104" s="224"/>
      <c r="J104" s="223"/>
      <c r="K104" s="229"/>
      <c r="L104" s="226"/>
      <c r="M104" s="128"/>
      <c r="N104" s="128"/>
      <c r="O104" s="128"/>
    </row>
    <row r="105" spans="1:15">
      <c r="A105" s="232"/>
      <c r="B105" s="217"/>
      <c r="C105" s="227"/>
      <c r="D105" s="219"/>
      <c r="E105" s="220"/>
      <c r="F105" s="221"/>
      <c r="G105" s="228"/>
      <c r="H105" s="223"/>
      <c r="I105" s="224"/>
      <c r="J105" s="223"/>
      <c r="K105" s="229"/>
      <c r="L105" s="226"/>
      <c r="M105" s="128"/>
      <c r="N105" s="128"/>
      <c r="O105" s="128"/>
    </row>
    <row r="106" spans="1:15">
      <c r="A106" s="232"/>
      <c r="B106" s="217"/>
      <c r="C106" s="227"/>
      <c r="D106" s="219"/>
      <c r="E106" s="220"/>
      <c r="F106" s="221"/>
      <c r="G106" s="228"/>
      <c r="H106" s="223"/>
      <c r="I106" s="224"/>
      <c r="J106" s="223"/>
      <c r="K106" s="229"/>
      <c r="L106" s="226"/>
      <c r="M106" s="128"/>
      <c r="N106" s="128"/>
      <c r="O106" s="128"/>
    </row>
    <row r="107" spans="1:15">
      <c r="A107" s="232"/>
      <c r="B107" s="217"/>
      <c r="C107" s="227"/>
      <c r="D107" s="219"/>
      <c r="E107" s="220"/>
      <c r="F107" s="221"/>
      <c r="G107" s="228"/>
      <c r="H107" s="223"/>
      <c r="I107" s="224"/>
      <c r="J107" s="223"/>
      <c r="K107" s="229"/>
      <c r="L107" s="226"/>
      <c r="M107" s="128"/>
      <c r="N107" s="128"/>
      <c r="O107" s="128"/>
    </row>
    <row r="108" spans="1:15">
      <c r="A108" s="232"/>
      <c r="B108" s="217"/>
      <c r="C108" s="227"/>
      <c r="D108" s="219"/>
      <c r="E108" s="220"/>
      <c r="F108" s="221"/>
      <c r="G108" s="228"/>
      <c r="H108" s="223"/>
      <c r="I108" s="224"/>
      <c r="J108" s="223"/>
      <c r="K108" s="229"/>
      <c r="L108" s="226"/>
      <c r="M108" s="128"/>
      <c r="N108" s="128"/>
      <c r="O108" s="128"/>
    </row>
    <row r="109" spans="1:15">
      <c r="A109" s="232"/>
      <c r="B109" s="217"/>
      <c r="C109" s="227"/>
      <c r="D109" s="219"/>
      <c r="E109" s="220"/>
      <c r="F109" s="221"/>
      <c r="G109" s="228"/>
      <c r="H109" s="223"/>
      <c r="I109" s="224"/>
      <c r="J109" s="223"/>
      <c r="K109" s="229"/>
      <c r="L109" s="226"/>
      <c r="M109" s="128"/>
      <c r="N109" s="128"/>
      <c r="O109" s="128"/>
    </row>
    <row r="110" spans="1:15">
      <c r="A110" s="232"/>
      <c r="B110" s="217"/>
      <c r="C110" s="227"/>
      <c r="D110" s="219"/>
      <c r="E110" s="220"/>
      <c r="F110" s="221"/>
      <c r="G110" s="228"/>
      <c r="H110" s="223"/>
      <c r="I110" s="224"/>
      <c r="J110" s="223"/>
      <c r="K110" s="229"/>
      <c r="L110" s="226"/>
      <c r="M110" s="128"/>
      <c r="N110" s="128"/>
      <c r="O110" s="128"/>
    </row>
    <row r="111" spans="1:15">
      <c r="A111" s="232"/>
      <c r="B111" s="217"/>
      <c r="C111" s="227"/>
      <c r="D111" s="219"/>
      <c r="E111" s="220"/>
      <c r="F111" s="221"/>
      <c r="G111" s="228"/>
      <c r="H111" s="223"/>
      <c r="I111" s="224"/>
      <c r="J111" s="223"/>
      <c r="K111" s="229"/>
      <c r="L111" s="226"/>
      <c r="M111" s="128"/>
      <c r="N111" s="128"/>
      <c r="O111" s="128"/>
    </row>
    <row r="112" spans="1:15">
      <c r="A112" s="232"/>
      <c r="B112" s="217"/>
      <c r="C112" s="227"/>
      <c r="D112" s="219"/>
      <c r="E112" s="220"/>
      <c r="F112" s="221"/>
      <c r="G112" s="228"/>
      <c r="H112" s="223"/>
      <c r="I112" s="224"/>
      <c r="J112" s="223"/>
      <c r="K112" s="229"/>
      <c r="L112" s="226"/>
      <c r="M112" s="128"/>
      <c r="N112" s="128"/>
      <c r="O112" s="128"/>
    </row>
    <row r="113" spans="1:15">
      <c r="A113" s="232"/>
      <c r="B113" s="217"/>
      <c r="C113" s="227"/>
      <c r="D113" s="219"/>
      <c r="E113" s="220"/>
      <c r="F113" s="221"/>
      <c r="G113" s="228"/>
      <c r="H113" s="223"/>
      <c r="I113" s="224"/>
      <c r="J113" s="223"/>
      <c r="K113" s="229"/>
      <c r="L113" s="226"/>
      <c r="M113" s="128"/>
      <c r="N113" s="128"/>
      <c r="O113" s="128"/>
    </row>
    <row r="114" spans="1:15">
      <c r="A114" s="232"/>
      <c r="B114" s="217"/>
      <c r="C114" s="227"/>
      <c r="D114" s="219"/>
      <c r="E114" s="220"/>
      <c r="F114" s="221"/>
      <c r="G114" s="228"/>
      <c r="H114" s="223"/>
      <c r="I114" s="224"/>
      <c r="J114" s="223"/>
      <c r="K114" s="229"/>
      <c r="L114" s="226"/>
      <c r="M114" s="128"/>
      <c r="N114" s="128"/>
      <c r="O114" s="128"/>
    </row>
    <row r="115" spans="1:15">
      <c r="A115" s="232"/>
      <c r="B115" s="217"/>
      <c r="C115" s="227"/>
      <c r="D115" s="219"/>
      <c r="E115" s="220"/>
      <c r="F115" s="221"/>
      <c r="G115" s="228"/>
      <c r="H115" s="223"/>
      <c r="I115" s="224"/>
      <c r="J115" s="223"/>
      <c r="K115" s="229"/>
      <c r="L115" s="226"/>
      <c r="M115" s="128"/>
      <c r="N115" s="128"/>
      <c r="O115" s="128"/>
    </row>
    <row r="116" spans="1:15">
      <c r="A116" s="232"/>
      <c r="B116" s="217"/>
      <c r="C116" s="227"/>
      <c r="D116" s="219"/>
      <c r="E116" s="220"/>
      <c r="F116" s="221"/>
      <c r="G116" s="228"/>
      <c r="H116" s="223"/>
      <c r="I116" s="224"/>
      <c r="J116" s="223"/>
      <c r="K116" s="229"/>
      <c r="L116" s="226"/>
      <c r="M116" s="128"/>
      <c r="N116" s="128"/>
      <c r="O116" s="128"/>
    </row>
    <row r="117" spans="1:15">
      <c r="A117" s="232"/>
      <c r="B117" s="217"/>
      <c r="C117" s="227"/>
      <c r="D117" s="219"/>
      <c r="E117" s="220"/>
      <c r="F117" s="221"/>
      <c r="G117" s="228"/>
      <c r="H117" s="223"/>
      <c r="I117" s="224"/>
      <c r="J117" s="223"/>
      <c r="K117" s="229"/>
      <c r="L117" s="226"/>
      <c r="M117" s="128"/>
      <c r="N117" s="128"/>
      <c r="O117" s="128"/>
    </row>
    <row r="118" spans="1:15">
      <c r="A118" s="232"/>
      <c r="B118" s="217"/>
      <c r="C118" s="227"/>
      <c r="D118" s="219"/>
      <c r="E118" s="220"/>
      <c r="F118" s="221"/>
      <c r="G118" s="228"/>
      <c r="H118" s="223"/>
      <c r="I118" s="224"/>
      <c r="J118" s="223"/>
      <c r="K118" s="229"/>
      <c r="L118" s="226"/>
      <c r="M118" s="128"/>
      <c r="N118" s="128"/>
      <c r="O118" s="128"/>
    </row>
    <row r="119" spans="1:15">
      <c r="A119" s="232"/>
      <c r="B119" s="217"/>
      <c r="C119" s="227"/>
      <c r="D119" s="219"/>
      <c r="E119" s="220"/>
      <c r="F119" s="221"/>
      <c r="G119" s="228"/>
      <c r="H119" s="223"/>
      <c r="I119" s="224"/>
      <c r="J119" s="223"/>
      <c r="K119" s="229"/>
      <c r="L119" s="226"/>
      <c r="M119" s="128"/>
      <c r="N119" s="128"/>
      <c r="O119" s="128"/>
    </row>
    <row r="120" spans="1:15">
      <c r="A120" s="232"/>
      <c r="B120" s="217"/>
      <c r="C120" s="227"/>
      <c r="D120" s="219"/>
      <c r="E120" s="220"/>
      <c r="F120" s="221"/>
      <c r="G120" s="228"/>
      <c r="H120" s="223"/>
      <c r="I120" s="224"/>
      <c r="J120" s="223"/>
      <c r="K120" s="229"/>
      <c r="L120" s="226"/>
      <c r="M120" s="128"/>
      <c r="N120" s="128"/>
      <c r="O120" s="128"/>
    </row>
    <row r="121" spans="1:15">
      <c r="A121" s="232"/>
      <c r="B121" s="217"/>
      <c r="C121" s="227"/>
      <c r="D121" s="219"/>
      <c r="E121" s="220"/>
      <c r="F121" s="221"/>
      <c r="G121" s="228"/>
      <c r="H121" s="223"/>
      <c r="I121" s="224"/>
      <c r="J121" s="223"/>
      <c r="K121" s="229"/>
      <c r="L121" s="226"/>
      <c r="M121" s="128"/>
      <c r="N121" s="128"/>
      <c r="O121" s="128"/>
    </row>
    <row r="122" spans="1:15">
      <c r="A122" s="232"/>
      <c r="B122" s="217"/>
      <c r="C122" s="227"/>
      <c r="D122" s="219"/>
      <c r="E122" s="220"/>
      <c r="F122" s="221"/>
      <c r="G122" s="228"/>
      <c r="H122" s="223"/>
      <c r="I122" s="224"/>
      <c r="J122" s="223"/>
      <c r="K122" s="229"/>
      <c r="L122" s="226"/>
      <c r="M122" s="128"/>
      <c r="N122" s="128"/>
      <c r="O122" s="128"/>
    </row>
    <row r="123" spans="1:15">
      <c r="A123" s="232"/>
      <c r="B123" s="217"/>
      <c r="C123" s="227"/>
      <c r="D123" s="219"/>
      <c r="E123" s="220"/>
      <c r="F123" s="221"/>
      <c r="G123" s="228"/>
      <c r="H123" s="223"/>
      <c r="I123" s="224"/>
      <c r="J123" s="223"/>
      <c r="K123" s="229"/>
      <c r="L123" s="226"/>
      <c r="M123" s="128"/>
      <c r="N123" s="128"/>
      <c r="O123" s="128"/>
    </row>
    <row r="124" spans="1:15" ht="15.75" thickBot="1">
      <c r="A124" s="233"/>
      <c r="B124" s="234"/>
      <c r="C124" s="235"/>
      <c r="D124" s="236"/>
      <c r="E124" s="237"/>
      <c r="F124" s="238"/>
      <c r="G124" s="239"/>
      <c r="H124" s="240"/>
      <c r="I124" s="241"/>
      <c r="J124" s="240"/>
      <c r="K124" s="242"/>
      <c r="L124" s="243"/>
      <c r="M124" s="128"/>
      <c r="N124" s="128"/>
      <c r="O124" s="128"/>
    </row>
    <row r="125" spans="1:15">
      <c r="A125" s="244"/>
      <c r="B125" s="245"/>
      <c r="C125" s="246"/>
      <c r="D125" s="247"/>
      <c r="E125" s="248"/>
      <c r="F125" s="249"/>
      <c r="G125" s="250"/>
      <c r="H125" s="251"/>
      <c r="I125" s="252"/>
      <c r="J125" s="251"/>
      <c r="K125" s="253"/>
      <c r="L125" s="254"/>
    </row>
  </sheetData>
  <sheetProtection sort="0" autoFilter="0"/>
  <pageMargins left="0.7" right="0.7" top="0.25" bottom="0.25" header="0.3" footer="0.3"/>
  <pageSetup scale="77" fitToHeight="0"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sheetPr codeName="Sheet9">
    <tabColor rgb="FF7030A0"/>
    <pageSetUpPr fitToPage="1"/>
  </sheetPr>
  <dimension ref="A1:T38"/>
  <sheetViews>
    <sheetView workbookViewId="0">
      <selection activeCell="E9" sqref="E9"/>
    </sheetView>
  </sheetViews>
  <sheetFormatPr defaultColWidth="9.140625" defaultRowHeight="15"/>
  <cols>
    <col min="1" max="1" width="9.140625" style="96" customWidth="1"/>
    <col min="2" max="2" width="9.140625" style="82"/>
    <col min="3" max="3" width="9.140625" style="92"/>
    <col min="4" max="4" width="10.85546875" style="92" customWidth="1"/>
    <col min="5" max="5" width="11.7109375" style="92" customWidth="1"/>
    <col min="6" max="6" width="11.42578125" style="82" customWidth="1"/>
    <col min="7" max="7" width="9.7109375" style="82" customWidth="1"/>
    <col min="8" max="8" width="9.140625" style="82" customWidth="1"/>
    <col min="9" max="9" width="10" style="82" customWidth="1"/>
    <col min="10" max="10" width="9.140625" style="92" customWidth="1"/>
    <col min="11" max="11" width="9.140625" style="82" customWidth="1"/>
    <col min="12" max="12" width="9.140625" style="92" hidden="1" customWidth="1"/>
    <col min="13" max="13" width="9.140625" style="82" hidden="1" customWidth="1"/>
    <col min="14" max="14" width="0.7109375" style="92" hidden="1" customWidth="1"/>
    <col min="15" max="16384" width="9.140625" style="92"/>
  </cols>
  <sheetData>
    <row r="1" spans="1:20" s="90" customFormat="1" ht="15" customHeight="1">
      <c r="A1" s="89" t="s">
        <v>1</v>
      </c>
      <c r="B1" s="63"/>
      <c r="C1" s="324" t="s">
        <v>14</v>
      </c>
      <c r="D1" s="325"/>
    </row>
    <row r="2" spans="1:20" ht="15.75" thickBot="1">
      <c r="A2" s="91" t="s">
        <v>12</v>
      </c>
      <c r="B2" s="77"/>
      <c r="C2" s="326"/>
      <c r="D2" s="327"/>
    </row>
    <row r="3" spans="1:20" s="94" customFormat="1" ht="46.5" customHeight="1" thickBot="1">
      <c r="A3" s="93"/>
      <c r="B3" s="260" t="str">
        <f>IF(Stats!C1=0,"",Stats!C1)</f>
        <v>% Time Ball Scored</v>
      </c>
      <c r="C3" s="261" t="str">
        <f>IF(Stats!D1=0,"",Stats!D1)</f>
        <v>Auto Points per Match</v>
      </c>
      <c r="D3" s="262" t="str">
        <f>IF(Stats!E1=0,"",Stats!E1)</f>
        <v>HP Loads per Match</v>
      </c>
      <c r="E3" s="263" t="str">
        <f>IF(Stats!F1=0,"",Stats!F1)</f>
        <v>Possessions per Match</v>
      </c>
      <c r="F3" s="264" t="str">
        <f>IF(Stats!G1=0,"",Stats!G1)</f>
        <v>% Sucessful Posessions</v>
      </c>
      <c r="G3" s="265" t="str">
        <f>IF(Stats!H1=0,"",Stats!H1)</f>
        <v>Truss Pass per Match</v>
      </c>
      <c r="H3" s="266" t="str">
        <f>IF(Stats!I1=0,"",Stats!I1)</f>
        <v>Truss Catch per Match</v>
      </c>
      <c r="I3" s="267" t="str">
        <f>IF(Stats!J1=0,"",Stats!J1)</f>
        <v>10 Point per Match</v>
      </c>
      <c r="J3" s="268" t="str">
        <f>IF(Stats!K1=0,"",Stats!K1)</f>
        <v>10 Point Shooting %</v>
      </c>
      <c r="K3" s="269" t="str">
        <f>IF(Stats!L1=0,"",Stats!L1)</f>
        <v>1 Point per Match</v>
      </c>
      <c r="L3" s="111" t="str">
        <f>IF(Stats!M1=0,"",Stats!M1)</f>
        <v>H1</v>
      </c>
      <c r="M3" s="111" t="str">
        <f>IF(Stats!N1=0,"",Stats!N1)</f>
        <v>H2</v>
      </c>
      <c r="N3" s="111" t="str">
        <f>IF(Stats!O1=0,"",Stats!O1)</f>
        <v>H3</v>
      </c>
      <c r="O3" s="111" t="str">
        <f>IF(Stats!P1=0,"",Stats!P1)</f>
        <v/>
      </c>
      <c r="P3" s="111" t="str">
        <f>IF(Stats!Q1=0,"",Stats!Q1)</f>
        <v/>
      </c>
      <c r="Q3" s="111" t="str">
        <f>IF(Stats!R1=0,"",Stats!R1)</f>
        <v/>
      </c>
      <c r="R3" s="111" t="str">
        <f>IF(Stats!S1=0,"",Stats!S1)</f>
        <v/>
      </c>
      <c r="S3" s="111" t="str">
        <f>IF(Stats!T1=0,"",Stats!T1)</f>
        <v/>
      </c>
      <c r="T3" s="111" t="str">
        <f>IF(Stats!U1=0,"",Stats!U1)</f>
        <v/>
      </c>
    </row>
    <row r="4" spans="1:20">
      <c r="A4" s="258" t="s">
        <v>10</v>
      </c>
      <c r="B4" s="280"/>
      <c r="C4" s="281"/>
      <c r="D4" s="284"/>
      <c r="E4" s="285"/>
      <c r="F4" s="286"/>
      <c r="G4" s="290"/>
      <c r="H4" s="291"/>
      <c r="I4" s="294"/>
      <c r="J4" s="295"/>
      <c r="K4" s="296"/>
      <c r="L4" s="98">
        <v>0.33333333333333331</v>
      </c>
      <c r="M4" s="98">
        <v>0.66666666666666663</v>
      </c>
      <c r="N4" s="98">
        <v>0.66666666666666663</v>
      </c>
      <c r="O4" s="108"/>
      <c r="P4" s="108"/>
    </row>
    <row r="5" spans="1:20" ht="15.75" thickBot="1">
      <c r="A5" s="259" t="s">
        <v>11</v>
      </c>
      <c r="B5" s="282"/>
      <c r="C5" s="283"/>
      <c r="D5" s="287"/>
      <c r="E5" s="288"/>
      <c r="F5" s="289"/>
      <c r="G5" s="292"/>
      <c r="H5" s="293"/>
      <c r="I5" s="297"/>
      <c r="J5" s="298"/>
      <c r="K5" s="299"/>
      <c r="L5" s="98">
        <v>1</v>
      </c>
      <c r="M5" s="98">
        <v>3</v>
      </c>
      <c r="N5" s="98">
        <v>3</v>
      </c>
      <c r="O5" s="108"/>
      <c r="P5" s="108"/>
    </row>
    <row r="6" spans="1:20" s="90" customFormat="1" ht="32.25" customHeight="1" thickBot="1">
      <c r="A6" s="95" t="s">
        <v>9</v>
      </c>
      <c r="B6" s="270" t="s">
        <v>62</v>
      </c>
      <c r="C6" s="271" t="s">
        <v>63</v>
      </c>
      <c r="D6" s="272" t="s">
        <v>76</v>
      </c>
      <c r="E6" s="273" t="s">
        <v>64</v>
      </c>
      <c r="F6" s="274" t="s">
        <v>75</v>
      </c>
      <c r="G6" s="275" t="s">
        <v>61</v>
      </c>
      <c r="H6" s="276" t="s">
        <v>65</v>
      </c>
      <c r="I6" s="277" t="s">
        <v>66</v>
      </c>
      <c r="J6" s="278" t="s">
        <v>67</v>
      </c>
      <c r="K6" s="279" t="s">
        <v>68</v>
      </c>
      <c r="L6" s="109"/>
      <c r="M6" s="110"/>
      <c r="N6" s="110"/>
      <c r="O6" s="110"/>
      <c r="P6" s="110"/>
    </row>
    <row r="7" spans="1:20">
      <c r="A7" s="255"/>
      <c r="B7" s="300"/>
      <c r="C7" s="281"/>
      <c r="D7" s="284"/>
      <c r="E7" s="285"/>
      <c r="F7" s="305"/>
      <c r="G7" s="290"/>
      <c r="H7" s="291"/>
      <c r="I7" s="294"/>
      <c r="J7" s="311"/>
      <c r="K7" s="320"/>
      <c r="L7" s="98">
        <v>1</v>
      </c>
      <c r="M7" s="98">
        <v>1</v>
      </c>
      <c r="N7" s="98">
        <v>1</v>
      </c>
      <c r="O7" s="108"/>
      <c r="P7" s="108"/>
    </row>
    <row r="8" spans="1:20">
      <c r="A8" s="255"/>
      <c r="B8" s="301"/>
      <c r="C8" s="302"/>
      <c r="D8" s="306"/>
      <c r="E8" s="257"/>
      <c r="F8" s="307"/>
      <c r="G8" s="316"/>
      <c r="H8" s="317"/>
      <c r="I8" s="312"/>
      <c r="J8" s="313"/>
      <c r="K8" s="321"/>
      <c r="L8" s="98">
        <v>0</v>
      </c>
      <c r="M8" s="98">
        <v>0</v>
      </c>
      <c r="N8" s="98">
        <v>1</v>
      </c>
      <c r="O8" s="108"/>
      <c r="P8" s="108"/>
    </row>
    <row r="9" spans="1:20">
      <c r="A9" s="255"/>
      <c r="B9" s="301"/>
      <c r="C9" s="302"/>
      <c r="D9" s="306"/>
      <c r="E9" s="257"/>
      <c r="F9" s="307"/>
      <c r="G9" s="316"/>
      <c r="H9" s="317"/>
      <c r="I9" s="312"/>
      <c r="J9" s="313"/>
      <c r="K9" s="321"/>
      <c r="L9" s="98">
        <v>0</v>
      </c>
      <c r="M9" s="98">
        <v>1</v>
      </c>
      <c r="N9" s="98">
        <v>0</v>
      </c>
      <c r="O9" s="108"/>
      <c r="P9" s="108"/>
    </row>
    <row r="10" spans="1:20">
      <c r="A10" s="255"/>
      <c r="B10" s="301"/>
      <c r="C10" s="302"/>
      <c r="D10" s="306"/>
      <c r="E10" s="257"/>
      <c r="F10" s="307"/>
      <c r="G10" s="316"/>
      <c r="H10" s="317"/>
      <c r="I10" s="312"/>
      <c r="J10" s="313"/>
      <c r="K10" s="321"/>
      <c r="L10" s="98"/>
      <c r="M10" s="98"/>
      <c r="N10" s="98"/>
      <c r="O10" s="108"/>
      <c r="P10" s="108"/>
    </row>
    <row r="11" spans="1:20">
      <c r="A11" s="255"/>
      <c r="B11" s="301"/>
      <c r="C11" s="302"/>
      <c r="D11" s="306"/>
      <c r="E11" s="257"/>
      <c r="F11" s="307"/>
      <c r="G11" s="316"/>
      <c r="H11" s="317"/>
      <c r="I11" s="312"/>
      <c r="J11" s="313"/>
      <c r="K11" s="321"/>
      <c r="L11" s="98"/>
      <c r="M11" s="98"/>
      <c r="N11" s="98"/>
      <c r="O11" s="108"/>
      <c r="P11" s="108"/>
    </row>
    <row r="12" spans="1:20">
      <c r="A12" s="255"/>
      <c r="B12" s="301"/>
      <c r="C12" s="302"/>
      <c r="D12" s="306"/>
      <c r="E12" s="257"/>
      <c r="F12" s="307"/>
      <c r="G12" s="316"/>
      <c r="H12" s="317"/>
      <c r="I12" s="312"/>
      <c r="J12" s="313"/>
      <c r="K12" s="321"/>
      <c r="L12" s="98"/>
      <c r="M12" s="98"/>
      <c r="N12" s="98"/>
      <c r="O12" s="108"/>
      <c r="P12" s="108"/>
    </row>
    <row r="13" spans="1:20">
      <c r="A13" s="255"/>
      <c r="B13" s="301"/>
      <c r="C13" s="302"/>
      <c r="D13" s="306"/>
      <c r="E13" s="257"/>
      <c r="F13" s="307"/>
      <c r="G13" s="316"/>
      <c r="H13" s="317"/>
      <c r="I13" s="312"/>
      <c r="J13" s="313"/>
      <c r="K13" s="321"/>
      <c r="L13" s="98"/>
      <c r="M13" s="98"/>
      <c r="N13" s="98"/>
      <c r="O13" s="108"/>
      <c r="P13" s="108"/>
    </row>
    <row r="14" spans="1:20">
      <c r="A14" s="255"/>
      <c r="B14" s="301"/>
      <c r="C14" s="302"/>
      <c r="D14" s="306"/>
      <c r="E14" s="257"/>
      <c r="F14" s="307"/>
      <c r="G14" s="316"/>
      <c r="H14" s="317"/>
      <c r="I14" s="312"/>
      <c r="J14" s="313"/>
      <c r="K14" s="321"/>
      <c r="L14" s="98"/>
      <c r="M14" s="98"/>
      <c r="N14" s="98"/>
      <c r="O14" s="108"/>
      <c r="P14" s="108"/>
    </row>
    <row r="15" spans="1:20">
      <c r="A15" s="255"/>
      <c r="B15" s="301"/>
      <c r="C15" s="302"/>
      <c r="D15" s="306"/>
      <c r="E15" s="257"/>
      <c r="F15" s="307"/>
      <c r="G15" s="316"/>
      <c r="H15" s="317"/>
      <c r="I15" s="312"/>
      <c r="J15" s="313"/>
      <c r="K15" s="321"/>
      <c r="L15" s="98"/>
      <c r="M15" s="98"/>
      <c r="N15" s="98"/>
      <c r="O15" s="108"/>
      <c r="P15" s="108"/>
    </row>
    <row r="16" spans="1:20">
      <c r="A16" s="255"/>
      <c r="B16" s="301"/>
      <c r="C16" s="302"/>
      <c r="D16" s="306"/>
      <c r="E16" s="257"/>
      <c r="F16" s="307"/>
      <c r="G16" s="316"/>
      <c r="H16" s="317"/>
      <c r="I16" s="312"/>
      <c r="J16" s="313"/>
      <c r="K16" s="321"/>
      <c r="L16" s="98"/>
      <c r="M16" s="98"/>
      <c r="N16" s="98"/>
      <c r="O16" s="108"/>
      <c r="P16" s="108"/>
    </row>
    <row r="17" spans="1:16">
      <c r="A17" s="255"/>
      <c r="B17" s="301"/>
      <c r="C17" s="302"/>
      <c r="D17" s="306"/>
      <c r="E17" s="257"/>
      <c r="F17" s="307"/>
      <c r="G17" s="316"/>
      <c r="H17" s="317"/>
      <c r="I17" s="312"/>
      <c r="J17" s="313"/>
      <c r="K17" s="321"/>
      <c r="L17" s="98"/>
      <c r="M17" s="98"/>
      <c r="N17" s="98"/>
      <c r="O17" s="108"/>
      <c r="P17" s="108"/>
    </row>
    <row r="18" spans="1:16">
      <c r="A18" s="255"/>
      <c r="B18" s="301"/>
      <c r="C18" s="302"/>
      <c r="D18" s="306"/>
      <c r="E18" s="257"/>
      <c r="F18" s="307"/>
      <c r="G18" s="316"/>
      <c r="H18" s="317"/>
      <c r="I18" s="312"/>
      <c r="J18" s="313"/>
      <c r="K18" s="321"/>
      <c r="L18" s="98"/>
      <c r="M18" s="98"/>
      <c r="N18" s="98"/>
      <c r="O18" s="108"/>
      <c r="P18" s="108"/>
    </row>
    <row r="19" spans="1:16">
      <c r="A19" s="255"/>
      <c r="B19" s="301"/>
      <c r="C19" s="302"/>
      <c r="D19" s="306"/>
      <c r="E19" s="257"/>
      <c r="F19" s="307"/>
      <c r="G19" s="316"/>
      <c r="H19" s="317"/>
      <c r="I19" s="312"/>
      <c r="J19" s="313"/>
      <c r="K19" s="321"/>
      <c r="L19" s="98"/>
      <c r="M19" s="98"/>
      <c r="N19" s="98"/>
      <c r="O19" s="108"/>
      <c r="P19" s="108"/>
    </row>
    <row r="20" spans="1:16">
      <c r="A20" s="255"/>
      <c r="B20" s="301"/>
      <c r="C20" s="302"/>
      <c r="D20" s="306"/>
      <c r="E20" s="257"/>
      <c r="F20" s="307"/>
      <c r="G20" s="316"/>
      <c r="H20" s="317"/>
      <c r="I20" s="312"/>
      <c r="J20" s="313"/>
      <c r="K20" s="321"/>
      <c r="L20" s="98"/>
      <c r="M20" s="98"/>
      <c r="N20" s="98"/>
      <c r="O20" s="108"/>
      <c r="P20" s="108"/>
    </row>
    <row r="21" spans="1:16" ht="15.75" thickBot="1">
      <c r="A21" s="256"/>
      <c r="B21" s="303"/>
      <c r="C21" s="304"/>
      <c r="D21" s="308"/>
      <c r="E21" s="309"/>
      <c r="F21" s="310"/>
      <c r="G21" s="318"/>
      <c r="H21" s="319"/>
      <c r="I21" s="314"/>
      <c r="J21" s="315"/>
      <c r="K21" s="322"/>
      <c r="L21" s="98"/>
      <c r="M21" s="98"/>
      <c r="N21" s="98"/>
      <c r="O21" s="108"/>
      <c r="P21" s="108"/>
    </row>
    <row r="22" spans="1:16" s="97" customFormat="1">
      <c r="A22" s="80"/>
      <c r="B22" s="81"/>
      <c r="C22" s="81"/>
      <c r="D22" s="81"/>
      <c r="E22" s="81"/>
      <c r="F22" s="81"/>
      <c r="G22" s="81"/>
      <c r="H22" s="81"/>
      <c r="I22" s="81"/>
      <c r="J22" s="81"/>
      <c r="K22" s="81" t="s">
        <v>58</v>
      </c>
      <c r="L22" s="81" t="s">
        <v>59</v>
      </c>
      <c r="M22" s="81" t="s">
        <v>60</v>
      </c>
    </row>
    <row r="23" spans="1:16">
      <c r="A23" s="80" t="s">
        <v>10</v>
      </c>
      <c r="B23" s="81"/>
      <c r="C23" s="81"/>
      <c r="D23" s="81"/>
      <c r="E23" s="81"/>
      <c r="F23" s="81"/>
      <c r="G23" s="81"/>
      <c r="H23" s="81"/>
      <c r="I23" s="81"/>
      <c r="J23" s="81"/>
      <c r="K23" s="81"/>
      <c r="L23" s="81"/>
      <c r="M23" s="81"/>
    </row>
    <row r="24" spans="1:16">
      <c r="A24" s="80"/>
      <c r="B24" s="81"/>
      <c r="C24" s="81"/>
      <c r="D24" s="81"/>
      <c r="E24" s="81"/>
      <c r="F24" s="81"/>
      <c r="G24" s="81"/>
      <c r="H24" s="81"/>
      <c r="I24" s="81"/>
      <c r="J24" s="81"/>
      <c r="K24" s="81"/>
      <c r="L24" s="81"/>
      <c r="M24" s="81"/>
    </row>
    <row r="25" spans="1:16">
      <c r="A25" s="80"/>
      <c r="B25" s="81"/>
      <c r="C25" s="81"/>
      <c r="D25" s="81"/>
      <c r="E25" s="81"/>
      <c r="F25" s="81"/>
      <c r="G25" s="81"/>
      <c r="H25" s="81"/>
      <c r="I25" s="81"/>
      <c r="J25" s="81"/>
      <c r="K25" s="81"/>
      <c r="L25" s="81"/>
      <c r="M25" s="81"/>
    </row>
    <row r="26" spans="1:16">
      <c r="A26" s="80"/>
      <c r="B26" s="81"/>
      <c r="C26" s="81"/>
      <c r="D26" s="81"/>
      <c r="E26" s="81"/>
      <c r="F26" s="81"/>
      <c r="G26" s="81"/>
      <c r="H26" s="81"/>
      <c r="I26" s="81"/>
      <c r="J26" s="81"/>
      <c r="K26" s="81"/>
      <c r="L26" s="81"/>
      <c r="M26" s="81"/>
    </row>
    <row r="27" spans="1:16">
      <c r="A27" s="80"/>
      <c r="B27" s="81"/>
      <c r="C27" s="81"/>
      <c r="D27" s="81"/>
      <c r="E27" s="81"/>
      <c r="F27" s="81"/>
      <c r="G27" s="81"/>
      <c r="H27" s="81"/>
      <c r="I27" s="81"/>
      <c r="J27" s="81"/>
      <c r="K27" s="81"/>
      <c r="L27" s="81"/>
      <c r="M27" s="81"/>
    </row>
    <row r="28" spans="1:16">
      <c r="A28" s="80"/>
      <c r="B28" s="81"/>
      <c r="C28" s="81"/>
      <c r="D28" s="81"/>
      <c r="E28" s="81"/>
      <c r="F28" s="81"/>
      <c r="G28" s="81"/>
      <c r="H28" s="81"/>
      <c r="I28" s="81"/>
      <c r="J28" s="81"/>
      <c r="K28" s="81"/>
      <c r="L28" s="81"/>
      <c r="M28" s="81"/>
    </row>
    <row r="29" spans="1:16">
      <c r="A29" s="80"/>
      <c r="B29" s="81"/>
      <c r="C29" s="81"/>
      <c r="D29" s="81"/>
      <c r="E29" s="81"/>
      <c r="F29" s="81"/>
      <c r="G29" s="81"/>
      <c r="H29" s="81"/>
      <c r="I29" s="81"/>
      <c r="J29" s="81"/>
      <c r="K29" s="81"/>
      <c r="L29" s="81"/>
      <c r="M29" s="81"/>
    </row>
    <row r="30" spans="1:16">
      <c r="A30" s="80"/>
      <c r="B30" s="81"/>
      <c r="C30" s="81"/>
      <c r="D30" s="81"/>
      <c r="E30" s="81"/>
      <c r="F30" s="81"/>
      <c r="G30" s="81"/>
      <c r="H30" s="81"/>
      <c r="I30" s="81"/>
      <c r="J30" s="81"/>
      <c r="K30" s="81"/>
      <c r="L30" s="81"/>
      <c r="M30" s="81"/>
    </row>
    <row r="31" spans="1:16">
      <c r="A31" s="80"/>
      <c r="B31" s="81"/>
      <c r="C31" s="81"/>
      <c r="D31" s="81"/>
      <c r="E31" s="81"/>
      <c r="F31" s="81"/>
      <c r="G31" s="81"/>
      <c r="H31" s="81"/>
      <c r="I31" s="81"/>
      <c r="J31" s="81"/>
      <c r="K31" s="81"/>
      <c r="L31" s="81"/>
      <c r="M31" s="81"/>
    </row>
    <row r="32" spans="1:16">
      <c r="A32" s="80"/>
      <c r="B32" s="81"/>
      <c r="C32" s="81"/>
      <c r="D32" s="81"/>
      <c r="E32" s="81"/>
      <c r="F32" s="81"/>
      <c r="G32" s="81"/>
      <c r="H32" s="81"/>
      <c r="I32" s="81"/>
      <c r="J32" s="81"/>
      <c r="K32" s="81"/>
      <c r="L32" s="81"/>
      <c r="M32" s="81"/>
    </row>
    <row r="33" spans="1:13">
      <c r="A33" s="80"/>
      <c r="B33" s="81"/>
      <c r="C33" s="81"/>
      <c r="D33" s="81"/>
      <c r="E33" s="81"/>
      <c r="F33" s="81"/>
      <c r="G33" s="81"/>
      <c r="H33" s="81"/>
      <c r="I33" s="81"/>
      <c r="J33" s="81"/>
      <c r="K33" s="81"/>
      <c r="L33" s="81"/>
      <c r="M33" s="81"/>
    </row>
    <row r="34" spans="1:13">
      <c r="A34" s="80"/>
      <c r="B34" s="81"/>
      <c r="C34" s="81"/>
      <c r="D34" s="81"/>
      <c r="E34" s="81"/>
      <c r="F34" s="81"/>
      <c r="G34" s="81"/>
      <c r="H34" s="81"/>
      <c r="I34" s="81"/>
      <c r="J34" s="81"/>
      <c r="K34" s="81"/>
      <c r="L34" s="81"/>
      <c r="M34" s="81"/>
    </row>
    <row r="35" spans="1:13">
      <c r="A35" s="80"/>
      <c r="B35" s="81"/>
      <c r="C35" s="81"/>
      <c r="D35" s="81"/>
      <c r="E35" s="81"/>
      <c r="F35" s="81"/>
      <c r="G35" s="81"/>
      <c r="H35" s="81"/>
      <c r="I35" s="81"/>
      <c r="J35" s="81"/>
      <c r="K35" s="81"/>
      <c r="L35" s="81"/>
      <c r="M35" s="81"/>
    </row>
    <row r="36" spans="1:13">
      <c r="A36" s="80"/>
      <c r="B36" s="81"/>
      <c r="C36" s="81"/>
      <c r="D36" s="81"/>
      <c r="E36" s="81"/>
      <c r="F36" s="81"/>
      <c r="G36" s="81"/>
      <c r="H36" s="81"/>
      <c r="I36" s="81"/>
      <c r="J36" s="81"/>
      <c r="K36" s="81"/>
      <c r="L36" s="81"/>
      <c r="M36" s="81"/>
    </row>
    <row r="37" spans="1:13">
      <c r="A37" s="80"/>
      <c r="B37" s="81"/>
      <c r="C37" s="81"/>
      <c r="D37" s="81"/>
      <c r="E37" s="81"/>
      <c r="F37" s="81"/>
      <c r="G37" s="81"/>
      <c r="H37" s="81"/>
      <c r="I37" s="81"/>
      <c r="J37" s="81"/>
      <c r="K37" s="81"/>
      <c r="L37" s="81"/>
      <c r="M37" s="81"/>
    </row>
    <row r="38" spans="1:13">
      <c r="B38" s="82" t="s">
        <v>57</v>
      </c>
    </row>
  </sheetData>
  <sheetProtection algorithmName="SHA-512" hashValue="/xZJFPNqsue3gFDAfaqeLbgya2CvF7xIII1+ApxGs491j1UP3ZJQTRCfixrvZx+FwWP7W4pRIb6srWdJyMwLbw==" saltValue="dCdifdxYBWFlnMXeiMTq8g==" spinCount="100000" sheet="1" objects="1" scenarios="1" selectLockedCells="1"/>
  <mergeCells count="1">
    <mergeCell ref="C1:D2"/>
  </mergeCells>
  <pageMargins left="0.7" right="0.7" top="0.75" bottom="0.75" header="0.3" footer="0.3"/>
  <pageSetup scale="63" orientation="landscape" r:id="rId1"/>
  <legacyDrawing r:id="rId2"/>
</worksheet>
</file>

<file path=xl/worksheets/sheet10.xml><?xml version="1.0" encoding="utf-8"?>
<worksheet xmlns="http://schemas.openxmlformats.org/spreadsheetml/2006/main" xmlns:r="http://schemas.openxmlformats.org/officeDocument/2006/relationships">
  <sheetPr codeName="Sheet15">
    <tabColor rgb="FFFFC000"/>
  </sheetPr>
  <dimension ref="A1:T18"/>
  <sheetViews>
    <sheetView workbookViewId="0">
      <selection activeCell="B3" sqref="B3"/>
    </sheetView>
  </sheetViews>
  <sheetFormatPr defaultColWidth="9.140625" defaultRowHeight="15"/>
  <cols>
    <col min="1" max="1" width="9.140625" style="60" customWidth="1"/>
    <col min="2" max="2" width="9.140625" style="58" customWidth="1"/>
    <col min="3" max="3" width="54.85546875" style="58" bestFit="1" customWidth="1"/>
    <col min="4" max="4" width="9.140625" style="58" customWidth="1"/>
    <col min="5" max="6" width="9.140625" style="58"/>
    <col min="7" max="7" width="9.140625" style="58" customWidth="1"/>
    <col min="8" max="16384" width="9.140625" style="58"/>
  </cols>
  <sheetData>
    <row r="1" spans="1:20" s="73" customFormat="1">
      <c r="A1" s="73" t="s">
        <v>39</v>
      </c>
      <c r="B1" s="71" t="s">
        <v>38</v>
      </c>
      <c r="C1" s="73" t="s">
        <v>37</v>
      </c>
    </row>
    <row r="2" spans="1:20" s="74" customFormat="1" hidden="1">
      <c r="A2" s="73" t="s">
        <v>36</v>
      </c>
      <c r="B2" s="72">
        <f>16383-COUNTIF(6:6,"")</f>
        <v>10</v>
      </c>
      <c r="C2" s="74" t="s">
        <v>40</v>
      </c>
    </row>
    <row r="3" spans="1:20" s="74" customFormat="1">
      <c r="A3" s="73" t="s">
        <v>41</v>
      </c>
      <c r="B3" s="99"/>
      <c r="C3" s="74" t="s">
        <v>42</v>
      </c>
    </row>
    <row r="4" spans="1:20" s="74" customFormat="1">
      <c r="A4" s="73" t="s">
        <v>25</v>
      </c>
      <c r="B4" s="99"/>
      <c r="C4" s="74" t="s">
        <v>44</v>
      </c>
    </row>
    <row r="5" spans="1:20" s="74" customFormat="1">
      <c r="A5" s="73" t="s">
        <v>43</v>
      </c>
      <c r="B5" s="99">
        <v>0</v>
      </c>
      <c r="C5" s="74" t="s">
        <v>45</v>
      </c>
    </row>
    <row r="6" spans="1:20" s="323" customFormat="1" ht="15.75" hidden="1" thickBot="1">
      <c r="A6" s="67" t="s">
        <v>47</v>
      </c>
      <c r="B6" s="323">
        <v>1</v>
      </c>
      <c r="C6" s="323">
        <v>2</v>
      </c>
      <c r="D6" s="323">
        <v>3</v>
      </c>
      <c r="E6" s="323">
        <v>4</v>
      </c>
      <c r="F6" s="323">
        <v>5</v>
      </c>
      <c r="G6" s="323">
        <v>6</v>
      </c>
      <c r="H6" s="323">
        <v>7</v>
      </c>
      <c r="I6" s="323">
        <v>8</v>
      </c>
      <c r="J6" s="323">
        <v>9</v>
      </c>
      <c r="K6" s="323">
        <v>10</v>
      </c>
    </row>
    <row r="7" spans="1:20" s="113" customFormat="1" hidden="1">
      <c r="A7" s="64" t="s">
        <v>46</v>
      </c>
      <c r="B7" s="113">
        <v>11</v>
      </c>
      <c r="C7" s="113">
        <v>2</v>
      </c>
      <c r="D7" s="113">
        <v>3</v>
      </c>
      <c r="E7" s="113">
        <v>4</v>
      </c>
      <c r="F7" s="113">
        <v>12</v>
      </c>
      <c r="G7" s="113">
        <v>6</v>
      </c>
      <c r="H7" s="113">
        <v>7</v>
      </c>
      <c r="I7" s="113">
        <v>8</v>
      </c>
      <c r="J7" s="113">
        <v>13</v>
      </c>
      <c r="K7" s="113">
        <v>10</v>
      </c>
    </row>
    <row r="8" spans="1:20" s="114" customFormat="1" hidden="1">
      <c r="A8" s="65" t="s">
        <v>50</v>
      </c>
      <c r="B8" s="114">
        <v>1</v>
      </c>
      <c r="C8" s="114">
        <v>1</v>
      </c>
      <c r="D8" s="114">
        <v>1</v>
      </c>
      <c r="E8" s="114">
        <v>1</v>
      </c>
      <c r="F8" s="114">
        <v>1</v>
      </c>
      <c r="G8" s="114">
        <v>1</v>
      </c>
      <c r="H8" s="114">
        <v>1</v>
      </c>
      <c r="I8" s="114">
        <v>1</v>
      </c>
      <c r="J8" s="114">
        <v>1</v>
      </c>
      <c r="K8" s="114">
        <v>1</v>
      </c>
    </row>
    <row r="9" spans="1:20" s="114" customFormat="1" hidden="1">
      <c r="A9" s="65" t="s">
        <v>48</v>
      </c>
      <c r="B9" s="114">
        <v>11</v>
      </c>
      <c r="C9" s="114">
        <v>2</v>
      </c>
      <c r="D9" s="114">
        <v>3</v>
      </c>
      <c r="E9" s="114">
        <v>4</v>
      </c>
      <c r="F9" s="114">
        <v>12</v>
      </c>
      <c r="G9" s="114">
        <v>6</v>
      </c>
      <c r="H9" s="114">
        <v>7</v>
      </c>
      <c r="I9" s="114">
        <v>8</v>
      </c>
      <c r="J9" s="114">
        <v>13</v>
      </c>
      <c r="K9" s="114">
        <v>10</v>
      </c>
    </row>
    <row r="10" spans="1:20" s="115" customFormat="1" ht="15.75" hidden="1" thickBot="1">
      <c r="A10" s="66" t="s">
        <v>51</v>
      </c>
      <c r="B10" s="115">
        <v>0</v>
      </c>
      <c r="C10" s="115">
        <v>0</v>
      </c>
      <c r="D10" s="115">
        <v>0</v>
      </c>
      <c r="E10" s="115">
        <v>0</v>
      </c>
      <c r="F10" s="115">
        <v>0</v>
      </c>
      <c r="G10" s="115">
        <v>0</v>
      </c>
      <c r="H10" s="115">
        <v>0</v>
      </c>
      <c r="I10" s="115">
        <v>0</v>
      </c>
      <c r="J10" s="115">
        <v>0</v>
      </c>
      <c r="K10" s="115">
        <v>0</v>
      </c>
    </row>
    <row r="11" spans="1:20" s="116" customFormat="1" ht="15.75" hidden="1" thickBot="1">
      <c r="A11" s="69" t="s">
        <v>56</v>
      </c>
      <c r="B11" s="116">
        <v>0</v>
      </c>
      <c r="C11" s="116">
        <v>0</v>
      </c>
      <c r="D11" s="116">
        <v>0</v>
      </c>
      <c r="E11" s="116">
        <v>0</v>
      </c>
      <c r="F11" s="116">
        <v>0</v>
      </c>
      <c r="G11" s="116">
        <v>0</v>
      </c>
      <c r="H11" s="116">
        <v>0</v>
      </c>
      <c r="I11" s="116">
        <v>0</v>
      </c>
      <c r="J11" s="116">
        <v>0</v>
      </c>
      <c r="K11" s="116">
        <v>0</v>
      </c>
    </row>
    <row r="12" spans="1:20" s="76" customFormat="1" hidden="1">
      <c r="A12" s="75" t="s">
        <v>49</v>
      </c>
      <c r="B12" s="76">
        <f>IF(B13="","",1)</f>
        <v>1</v>
      </c>
      <c r="C12" s="76">
        <f>IF(C13="","",B12+1)</f>
        <v>2</v>
      </c>
      <c r="D12" s="76">
        <f t="shared" ref="D12:J12" si="0">IF(D13="","",C12+1)</f>
        <v>3</v>
      </c>
      <c r="E12" s="76">
        <f t="shared" si="0"/>
        <v>4</v>
      </c>
      <c r="F12" s="76">
        <f t="shared" si="0"/>
        <v>5</v>
      </c>
      <c r="G12" s="76">
        <f t="shared" si="0"/>
        <v>6</v>
      </c>
      <c r="H12" s="76">
        <f t="shared" si="0"/>
        <v>7</v>
      </c>
      <c r="I12" s="76">
        <f t="shared" si="0"/>
        <v>8</v>
      </c>
      <c r="J12" s="76">
        <f t="shared" si="0"/>
        <v>9</v>
      </c>
      <c r="K12" s="76">
        <f t="shared" ref="K12" si="1">IF(K13="","",J12+1)</f>
        <v>10</v>
      </c>
      <c r="L12" s="76">
        <f t="shared" ref="L12" si="2">IF(L13="","",K12+1)</f>
        <v>11</v>
      </c>
      <c r="M12" s="76">
        <f t="shared" ref="M12" si="3">IF(M13="","",L12+1)</f>
        <v>12</v>
      </c>
      <c r="N12" s="76">
        <f t="shared" ref="N12" si="4">IF(N13="","",M12+1)</f>
        <v>13</v>
      </c>
      <c r="O12" s="76" t="str">
        <f t="shared" ref="O12" si="5">IF(O13="","",N12+1)</f>
        <v/>
      </c>
      <c r="P12" s="76" t="str">
        <f t="shared" ref="P12" si="6">IF(P13="","",O12+1)</f>
        <v/>
      </c>
      <c r="Q12" s="76" t="str">
        <f t="shared" ref="Q12" si="7">IF(Q13="","",P12+1)</f>
        <v/>
      </c>
      <c r="R12" s="76" t="str">
        <f t="shared" ref="R12" si="8">IF(R13="","",Q12+1)</f>
        <v/>
      </c>
      <c r="S12" s="76" t="str">
        <f t="shared" ref="S12" si="9">IF(S13="","",R12+1)</f>
        <v/>
      </c>
      <c r="T12" s="76" t="str">
        <f t="shared" ref="T12" si="10">IF(T13="","",S12+1)</f>
        <v/>
      </c>
    </row>
    <row r="13" spans="1:20" s="88" customFormat="1" ht="15.75" hidden="1" thickBot="1">
      <c r="A13" s="112">
        <f>COUNT(15:15)</f>
        <v>3</v>
      </c>
      <c r="B13" s="88" t="str">
        <f>IF(Stats!C1=0,"",Stats!C1)</f>
        <v>% Time Ball Scored</v>
      </c>
      <c r="C13" s="88" t="str">
        <f>IF(Stats!D1=0,"",Stats!D1)</f>
        <v>Auto Points per Match</v>
      </c>
      <c r="D13" s="88" t="str">
        <f>IF(Stats!E1=0,"",Stats!E1)</f>
        <v>HP Loads per Match</v>
      </c>
      <c r="E13" s="88" t="str">
        <f>IF(Stats!F1=0,"",Stats!F1)</f>
        <v>Possessions per Match</v>
      </c>
      <c r="F13" s="88" t="str">
        <f>IF(Stats!G1=0,"",Stats!G1)</f>
        <v>% Sucessful Posessions</v>
      </c>
      <c r="G13" s="88" t="str">
        <f>IF(Stats!H1=0,"",Stats!H1)</f>
        <v>Truss Pass per Match</v>
      </c>
      <c r="H13" s="88" t="str">
        <f>IF(Stats!I1=0,"",Stats!I1)</f>
        <v>Truss Catch per Match</v>
      </c>
      <c r="I13" s="88" t="str">
        <f>IF(Stats!J1=0,"",Stats!J1)</f>
        <v>10 Point per Match</v>
      </c>
      <c r="J13" s="88" t="str">
        <f>IF(Stats!K1=0,"",Stats!K1)</f>
        <v>10 Point Shooting %</v>
      </c>
      <c r="K13" s="88" t="str">
        <f>IF(Stats!L1=0,"",Stats!L1)</f>
        <v>1 Point per Match</v>
      </c>
      <c r="L13" s="88" t="str">
        <f>IF(Stats!M1=0,"",Stats!M1)</f>
        <v>H1</v>
      </c>
      <c r="M13" s="88" t="str">
        <f>IF(Stats!N1=0,"",Stats!N1)</f>
        <v>H2</v>
      </c>
      <c r="N13" s="88" t="str">
        <f>IF(Stats!O1=0,"",Stats!O1)</f>
        <v>H3</v>
      </c>
      <c r="O13" s="88" t="str">
        <f>IF(Stats!P1=0,"",Stats!P1)</f>
        <v/>
      </c>
      <c r="P13" s="88" t="str">
        <f>IF(Stats!Q1=0,"",Stats!Q1)</f>
        <v/>
      </c>
      <c r="Q13" s="88" t="str">
        <f>IF(Stats!R1=0,"",Stats!R1)</f>
        <v/>
      </c>
      <c r="R13" s="88" t="str">
        <f>IF(Stats!S1=0,"",Stats!S1)</f>
        <v/>
      </c>
      <c r="S13" s="88" t="str">
        <f>IF(Stats!T1=0,"",Stats!T1)</f>
        <v/>
      </c>
      <c r="T13" s="88" t="str">
        <f>IF(Stats!U1=0,"",Stats!U1)</f>
        <v/>
      </c>
    </row>
    <row r="14" spans="1:20" s="68" customFormat="1" ht="15.75" hidden="1" thickBot="1">
      <c r="A14" s="59" t="s">
        <v>53</v>
      </c>
      <c r="B14" s="68" t="s">
        <v>55</v>
      </c>
      <c r="D14" s="107" t="s">
        <v>69</v>
      </c>
      <c r="F14" s="68" t="s">
        <v>70</v>
      </c>
      <c r="I14" s="68" t="s">
        <v>79</v>
      </c>
    </row>
    <row r="15" spans="1:20" s="117" customFormat="1" hidden="1">
      <c r="A15" s="75" t="s">
        <v>73</v>
      </c>
      <c r="B15" s="117">
        <v>1</v>
      </c>
      <c r="C15" s="117">
        <v>8</v>
      </c>
      <c r="D15" s="117">
        <v>4</v>
      </c>
    </row>
    <row r="16" spans="1:20" s="116" customFormat="1" hidden="1">
      <c r="A16" s="69" t="s">
        <v>74</v>
      </c>
      <c r="B16" s="116">
        <v>2</v>
      </c>
      <c r="C16" s="116">
        <v>9</v>
      </c>
      <c r="D16" s="116">
        <v>5</v>
      </c>
    </row>
    <row r="17" spans="1:4" s="74" customFormat="1" hidden="1">
      <c r="A17" s="70" t="s">
        <v>52</v>
      </c>
      <c r="B17" s="74">
        <v>1</v>
      </c>
      <c r="C17" s="74">
        <v>9</v>
      </c>
      <c r="D17" s="74">
        <v>5</v>
      </c>
    </row>
    <row r="18" spans="1:4" s="118" customFormat="1" ht="15.75" hidden="1" thickBot="1">
      <c r="A18" s="67" t="s">
        <v>54</v>
      </c>
      <c r="B18" s="118">
        <v>3</v>
      </c>
      <c r="C18" s="118">
        <v>2</v>
      </c>
      <c r="D18" s="118">
        <v>4</v>
      </c>
    </row>
  </sheetData>
  <sheetProtection algorithmName="SHA-512" hashValue="6sUeuzTkK/S20c7KGmny+aZQNE7+j41yie3oH9u88+CyRO6gQ8KKL4au5sViA47P7h0F1G45EWzyEOHitJ+cnw==" saltValue="PCYYk40Z8EoUqZmnn/Uv8Q==" spinCount="100000" sheet="1" objects="1" scenarios="1" selectLockedCells="1"/>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2">
    <tabColor theme="9" tint="-0.249977111117893"/>
  </sheetPr>
  <dimension ref="A1:R148"/>
  <sheetViews>
    <sheetView workbookViewId="0">
      <pane xSplit="1" ySplit="1" topLeftCell="B2" activePane="bottomRight" state="frozen"/>
      <selection activeCell="H2" sqref="H2"/>
      <selection pane="topRight" activeCell="H2" sqref="H2"/>
      <selection pane="bottomLeft" activeCell="H2" sqref="H2"/>
      <selection pane="bottomRight" activeCell="I5" sqref="I5"/>
    </sheetView>
  </sheetViews>
  <sheetFormatPr defaultColWidth="9.140625" defaultRowHeight="15"/>
  <cols>
    <col min="1" max="1" width="9.140625" style="10"/>
    <col min="2" max="3" width="9.140625" style="40"/>
    <col min="4" max="4" width="9.140625" style="41"/>
    <col min="5" max="5" width="9.140625" style="46"/>
    <col min="6" max="6" width="9.140625" style="47"/>
    <col min="7" max="7" width="9.140625" style="48"/>
    <col min="8" max="16384" width="9.140625" style="6"/>
  </cols>
  <sheetData>
    <row r="1" spans="1:18" s="5" customFormat="1">
      <c r="A1" s="4" t="s">
        <v>0</v>
      </c>
      <c r="B1" s="38" t="s">
        <v>2</v>
      </c>
      <c r="C1" s="38" t="s">
        <v>3</v>
      </c>
      <c r="D1" s="38" t="s">
        <v>4</v>
      </c>
      <c r="E1" s="42" t="s">
        <v>5</v>
      </c>
      <c r="F1" s="43" t="s">
        <v>6</v>
      </c>
      <c r="G1" s="44" t="s">
        <v>7</v>
      </c>
      <c r="H1" s="328" t="s">
        <v>114</v>
      </c>
      <c r="I1" s="329"/>
      <c r="J1" s="329"/>
      <c r="K1" s="329"/>
      <c r="L1" s="329"/>
      <c r="M1" s="329"/>
      <c r="N1" s="329"/>
      <c r="O1" s="329"/>
      <c r="P1" s="329"/>
      <c r="Q1" s="329"/>
      <c r="R1" s="329"/>
    </row>
    <row r="2" spans="1:18">
      <c r="A2" s="101">
        <v>1</v>
      </c>
      <c r="B2" s="6"/>
      <c r="C2" s="6"/>
      <c r="D2" s="6"/>
      <c r="E2" s="6"/>
      <c r="F2" s="6"/>
      <c r="G2" s="6"/>
      <c r="H2" s="100"/>
    </row>
    <row r="3" spans="1:18">
      <c r="A3" s="101">
        <v>2</v>
      </c>
      <c r="B3" s="6"/>
      <c r="C3" s="6"/>
      <c r="D3" s="6"/>
      <c r="E3" s="6"/>
      <c r="F3" s="6"/>
      <c r="G3" s="6"/>
      <c r="H3" s="100"/>
    </row>
    <row r="4" spans="1:18">
      <c r="A4" s="101">
        <v>3</v>
      </c>
      <c r="B4" s="6"/>
      <c r="C4" s="6"/>
      <c r="D4" s="6"/>
      <c r="E4" s="6"/>
      <c r="F4" s="6"/>
      <c r="G4" s="6"/>
      <c r="H4" s="100"/>
    </row>
    <row r="5" spans="1:18">
      <c r="A5" s="101">
        <v>4</v>
      </c>
      <c r="B5" s="6"/>
      <c r="C5" s="6"/>
      <c r="D5" s="79"/>
      <c r="E5" s="6"/>
      <c r="F5" s="6"/>
      <c r="G5" s="6"/>
      <c r="H5" s="100"/>
    </row>
    <row r="6" spans="1:18">
      <c r="A6" s="101">
        <v>5</v>
      </c>
      <c r="B6" s="6"/>
      <c r="C6" s="6"/>
      <c r="D6" s="6"/>
      <c r="E6" s="6"/>
      <c r="F6" s="6"/>
      <c r="G6" s="6"/>
      <c r="H6" s="100"/>
    </row>
    <row r="7" spans="1:18">
      <c r="A7" s="101">
        <v>6</v>
      </c>
      <c r="B7" s="6"/>
      <c r="C7" s="6"/>
      <c r="D7" s="6"/>
      <c r="E7" s="6"/>
      <c r="F7" s="6"/>
      <c r="G7" s="6"/>
      <c r="H7" s="100"/>
    </row>
    <row r="8" spans="1:18">
      <c r="A8" s="101">
        <v>7</v>
      </c>
      <c r="B8" s="6"/>
      <c r="C8" s="6"/>
      <c r="D8" s="6"/>
      <c r="E8" s="6"/>
      <c r="F8" s="6"/>
      <c r="G8" s="6"/>
      <c r="H8" s="100"/>
    </row>
    <row r="9" spans="1:18">
      <c r="A9" s="101">
        <v>8</v>
      </c>
      <c r="B9" s="6"/>
      <c r="C9" s="6"/>
      <c r="D9" s="6"/>
      <c r="E9" s="6"/>
      <c r="F9" s="6"/>
      <c r="G9" s="6"/>
      <c r="H9" s="100"/>
    </row>
    <row r="10" spans="1:18">
      <c r="A10" s="101">
        <v>9</v>
      </c>
      <c r="B10" s="6"/>
      <c r="C10" s="6"/>
      <c r="D10" s="6"/>
      <c r="E10" s="6"/>
      <c r="F10" s="6"/>
      <c r="G10" s="6"/>
      <c r="H10" s="100"/>
    </row>
    <row r="11" spans="1:18">
      <c r="A11" s="101">
        <v>10</v>
      </c>
      <c r="B11" s="6"/>
      <c r="C11" s="6"/>
      <c r="D11" s="6"/>
      <c r="E11" s="6"/>
      <c r="F11" s="6"/>
      <c r="G11" s="6"/>
      <c r="H11" s="100"/>
    </row>
    <row r="12" spans="1:18">
      <c r="A12" s="101">
        <v>11</v>
      </c>
      <c r="B12" s="6"/>
      <c r="C12" s="6"/>
      <c r="D12" s="6"/>
      <c r="E12" s="6"/>
      <c r="F12" s="6"/>
      <c r="G12" s="6"/>
      <c r="H12" s="100"/>
    </row>
    <row r="13" spans="1:18">
      <c r="A13" s="101">
        <v>12</v>
      </c>
      <c r="B13" s="6"/>
      <c r="C13" s="6"/>
      <c r="D13" s="6"/>
      <c r="E13" s="6"/>
      <c r="F13" s="6"/>
      <c r="G13" s="6"/>
      <c r="H13" s="100"/>
    </row>
    <row r="14" spans="1:18">
      <c r="A14" s="101">
        <v>13</v>
      </c>
      <c r="B14" s="6"/>
      <c r="C14" s="6"/>
      <c r="D14" s="6"/>
      <c r="E14" s="6"/>
      <c r="F14" s="6"/>
      <c r="G14" s="6"/>
      <c r="H14" s="100"/>
    </row>
    <row r="15" spans="1:18">
      <c r="A15" s="101">
        <v>14</v>
      </c>
      <c r="B15" s="6"/>
      <c r="C15" s="6"/>
      <c r="D15" s="6"/>
      <c r="E15" s="6"/>
      <c r="F15" s="6"/>
      <c r="G15" s="6"/>
      <c r="H15" s="100"/>
    </row>
    <row r="16" spans="1:18">
      <c r="A16" s="101">
        <v>15</v>
      </c>
      <c r="B16" s="6"/>
      <c r="C16" s="6"/>
      <c r="D16" s="6"/>
      <c r="E16" s="6"/>
      <c r="F16" s="6"/>
      <c r="G16" s="6"/>
      <c r="H16" s="100"/>
    </row>
    <row r="17" spans="1:8">
      <c r="A17" s="101">
        <v>16</v>
      </c>
      <c r="B17" s="6"/>
      <c r="C17" s="6"/>
      <c r="D17" s="6"/>
      <c r="E17" s="6"/>
      <c r="F17" s="6"/>
      <c r="G17" s="6"/>
      <c r="H17" s="100"/>
    </row>
    <row r="18" spans="1:8">
      <c r="A18" s="101">
        <v>17</v>
      </c>
      <c r="B18" s="6"/>
      <c r="C18" s="6"/>
      <c r="D18" s="6"/>
      <c r="E18" s="6"/>
      <c r="F18" s="6"/>
      <c r="G18" s="6"/>
      <c r="H18" s="100"/>
    </row>
    <row r="19" spans="1:8">
      <c r="A19" s="101">
        <v>18</v>
      </c>
      <c r="B19" s="6"/>
      <c r="C19" s="6"/>
      <c r="D19" s="6"/>
      <c r="E19" s="6"/>
      <c r="F19" s="6"/>
      <c r="G19" s="6"/>
      <c r="H19" s="100"/>
    </row>
    <row r="20" spans="1:8">
      <c r="A20" s="101">
        <v>19</v>
      </c>
      <c r="B20" s="6"/>
      <c r="C20" s="6"/>
      <c r="D20" s="6"/>
      <c r="E20" s="6"/>
      <c r="F20" s="6"/>
      <c r="G20" s="6"/>
      <c r="H20" s="100"/>
    </row>
    <row r="21" spans="1:8">
      <c r="A21" s="101">
        <v>20</v>
      </c>
      <c r="B21" s="6"/>
      <c r="C21" s="6"/>
      <c r="D21" s="6"/>
      <c r="E21" s="6"/>
      <c r="F21" s="6"/>
      <c r="G21" s="6"/>
      <c r="H21" s="100"/>
    </row>
    <row r="22" spans="1:8">
      <c r="A22" s="101">
        <v>21</v>
      </c>
      <c r="B22" s="6"/>
      <c r="C22" s="6"/>
      <c r="D22" s="6"/>
      <c r="E22" s="6"/>
      <c r="F22" s="6"/>
      <c r="G22" s="6"/>
      <c r="H22" s="100"/>
    </row>
    <row r="23" spans="1:8">
      <c r="A23" s="101">
        <v>22</v>
      </c>
      <c r="B23" s="6"/>
      <c r="C23" s="6"/>
      <c r="D23" s="6"/>
      <c r="E23" s="6"/>
      <c r="F23" s="6"/>
      <c r="G23" s="6"/>
      <c r="H23" s="100"/>
    </row>
    <row r="24" spans="1:8">
      <c r="A24" s="101">
        <v>23</v>
      </c>
      <c r="B24" s="6"/>
      <c r="C24" s="6"/>
      <c r="D24" s="6"/>
      <c r="E24" s="6"/>
      <c r="F24" s="6"/>
      <c r="G24" s="6"/>
      <c r="H24" s="100"/>
    </row>
    <row r="25" spans="1:8">
      <c r="A25" s="101">
        <v>24</v>
      </c>
      <c r="B25" s="6"/>
      <c r="C25" s="6"/>
      <c r="D25" s="6"/>
      <c r="E25" s="6"/>
      <c r="F25" s="6"/>
      <c r="G25" s="6"/>
      <c r="H25" s="100"/>
    </row>
    <row r="26" spans="1:8">
      <c r="A26" s="101">
        <v>25</v>
      </c>
      <c r="B26" s="6"/>
      <c r="C26" s="6"/>
      <c r="D26" s="6"/>
      <c r="E26" s="6"/>
      <c r="F26" s="6"/>
      <c r="G26" s="6"/>
      <c r="H26" s="100"/>
    </row>
    <row r="27" spans="1:8">
      <c r="A27" s="101">
        <v>26</v>
      </c>
      <c r="B27" s="6"/>
      <c r="C27" s="6"/>
      <c r="D27" s="6"/>
      <c r="E27" s="6"/>
      <c r="F27" s="6"/>
      <c r="G27" s="6"/>
      <c r="H27" s="100"/>
    </row>
    <row r="28" spans="1:8">
      <c r="A28" s="101">
        <v>27</v>
      </c>
      <c r="B28" s="6"/>
      <c r="C28" s="6"/>
      <c r="D28" s="6"/>
      <c r="E28" s="6"/>
      <c r="F28" s="6"/>
      <c r="G28" s="6"/>
      <c r="H28" s="100"/>
    </row>
    <row r="29" spans="1:8">
      <c r="A29" s="101">
        <v>28</v>
      </c>
      <c r="B29" s="6"/>
      <c r="C29" s="6"/>
      <c r="D29" s="6"/>
      <c r="E29" s="6"/>
      <c r="F29" s="6"/>
      <c r="G29" s="6"/>
      <c r="H29" s="100"/>
    </row>
    <row r="30" spans="1:8">
      <c r="A30" s="101">
        <v>29</v>
      </c>
      <c r="B30" s="6"/>
      <c r="C30" s="6"/>
      <c r="D30" s="6"/>
      <c r="E30" s="6"/>
      <c r="F30" s="6"/>
      <c r="G30" s="6"/>
      <c r="H30" s="100"/>
    </row>
    <row r="31" spans="1:8">
      <c r="A31" s="101">
        <v>30</v>
      </c>
      <c r="B31" s="6"/>
      <c r="C31" s="6"/>
      <c r="D31" s="6"/>
      <c r="E31" s="6"/>
      <c r="F31" s="6"/>
      <c r="G31" s="6"/>
      <c r="H31" s="100"/>
    </row>
    <row r="32" spans="1:8">
      <c r="A32" s="101">
        <v>31</v>
      </c>
      <c r="B32" s="6"/>
      <c r="C32" s="6"/>
      <c r="D32" s="6"/>
      <c r="E32" s="6"/>
      <c r="F32" s="6"/>
      <c r="G32" s="6"/>
      <c r="H32" s="100"/>
    </row>
    <row r="33" spans="1:8">
      <c r="A33" s="101">
        <v>32</v>
      </c>
      <c r="B33" s="6"/>
      <c r="C33" s="6"/>
      <c r="D33" s="6"/>
      <c r="E33" s="6"/>
      <c r="F33" s="6"/>
      <c r="G33" s="6"/>
      <c r="H33" s="100"/>
    </row>
    <row r="34" spans="1:8">
      <c r="A34" s="101">
        <v>33</v>
      </c>
      <c r="B34" s="6"/>
      <c r="C34" s="6"/>
      <c r="D34" s="6"/>
      <c r="E34" s="6"/>
      <c r="F34" s="6"/>
      <c r="G34" s="6"/>
      <c r="H34" s="100"/>
    </row>
    <row r="35" spans="1:8">
      <c r="A35" s="101">
        <v>34</v>
      </c>
      <c r="B35" s="6"/>
      <c r="C35" s="6"/>
      <c r="D35" s="6"/>
      <c r="E35" s="6"/>
      <c r="F35" s="6"/>
      <c r="G35" s="6"/>
      <c r="H35" s="100"/>
    </row>
    <row r="36" spans="1:8">
      <c r="A36" s="101">
        <v>35</v>
      </c>
      <c r="B36" s="6"/>
      <c r="C36" s="6"/>
      <c r="D36" s="6"/>
      <c r="E36" s="6"/>
      <c r="F36" s="6"/>
      <c r="G36" s="6"/>
      <c r="H36" s="100"/>
    </row>
    <row r="37" spans="1:8">
      <c r="A37" s="101">
        <v>36</v>
      </c>
      <c r="B37" s="6"/>
      <c r="C37" s="6"/>
      <c r="D37" s="6"/>
      <c r="E37" s="6"/>
      <c r="F37" s="6"/>
      <c r="G37" s="6"/>
      <c r="H37" s="100"/>
    </row>
    <row r="38" spans="1:8">
      <c r="A38" s="101">
        <v>37</v>
      </c>
      <c r="B38" s="6"/>
      <c r="C38" s="6"/>
      <c r="D38" s="6"/>
      <c r="E38" s="6"/>
      <c r="F38" s="6"/>
      <c r="G38" s="6"/>
      <c r="H38" s="100"/>
    </row>
    <row r="39" spans="1:8">
      <c r="A39" s="101">
        <v>38</v>
      </c>
      <c r="B39" s="6"/>
      <c r="C39" s="6"/>
      <c r="D39" s="6"/>
      <c r="E39" s="6"/>
      <c r="F39" s="6"/>
      <c r="G39" s="6"/>
      <c r="H39" s="100"/>
    </row>
    <row r="40" spans="1:8">
      <c r="A40" s="101">
        <v>39</v>
      </c>
      <c r="B40" s="6"/>
      <c r="C40" s="6"/>
      <c r="D40" s="6"/>
      <c r="E40" s="6"/>
      <c r="F40" s="6"/>
      <c r="G40" s="6"/>
      <c r="H40" s="100"/>
    </row>
    <row r="41" spans="1:8">
      <c r="A41" s="101">
        <v>40</v>
      </c>
      <c r="B41" s="6"/>
      <c r="C41" s="6"/>
      <c r="D41" s="6"/>
      <c r="E41" s="6"/>
      <c r="F41" s="6"/>
      <c r="G41" s="6"/>
      <c r="H41" s="100"/>
    </row>
    <row r="42" spans="1:8">
      <c r="A42" s="101">
        <v>41</v>
      </c>
      <c r="B42" s="6"/>
      <c r="C42" s="6"/>
      <c r="D42" s="6"/>
      <c r="E42" s="6"/>
      <c r="F42" s="6"/>
      <c r="G42" s="6"/>
      <c r="H42" s="100"/>
    </row>
    <row r="43" spans="1:8">
      <c r="A43" s="101">
        <v>42</v>
      </c>
      <c r="B43" s="6"/>
      <c r="C43" s="6"/>
      <c r="D43" s="6"/>
      <c r="E43" s="6"/>
      <c r="F43" s="6"/>
      <c r="G43" s="6"/>
      <c r="H43" s="100"/>
    </row>
    <row r="44" spans="1:8">
      <c r="A44" s="101">
        <v>43</v>
      </c>
      <c r="B44" s="6"/>
      <c r="C44" s="6"/>
      <c r="D44" s="6"/>
      <c r="E44" s="6"/>
      <c r="F44" s="6"/>
      <c r="G44" s="6"/>
      <c r="H44" s="100"/>
    </row>
    <row r="45" spans="1:8">
      <c r="A45" s="101">
        <v>44</v>
      </c>
      <c r="B45" s="6"/>
      <c r="C45" s="6"/>
      <c r="D45" s="6"/>
      <c r="E45" s="6"/>
      <c r="F45" s="6"/>
      <c r="G45" s="6"/>
      <c r="H45" s="100"/>
    </row>
    <row r="46" spans="1:8">
      <c r="A46" s="101">
        <v>45</v>
      </c>
      <c r="B46" s="6"/>
      <c r="C46" s="6"/>
      <c r="D46" s="6"/>
      <c r="E46" s="6"/>
      <c r="F46" s="6"/>
      <c r="G46" s="6"/>
      <c r="H46" s="100"/>
    </row>
    <row r="47" spans="1:8">
      <c r="A47" s="101">
        <v>46</v>
      </c>
      <c r="B47" s="6"/>
      <c r="C47" s="6"/>
      <c r="D47" s="6"/>
      <c r="E47" s="6"/>
      <c r="F47" s="6"/>
      <c r="G47" s="6"/>
      <c r="H47" s="100"/>
    </row>
    <row r="48" spans="1:8">
      <c r="A48" s="101">
        <v>47</v>
      </c>
      <c r="B48" s="6"/>
      <c r="C48" s="6"/>
      <c r="D48" s="6"/>
      <c r="E48" s="6"/>
      <c r="F48" s="6"/>
      <c r="G48" s="6"/>
      <c r="H48" s="100"/>
    </row>
    <row r="49" spans="1:8">
      <c r="A49" s="101">
        <v>48</v>
      </c>
      <c r="B49" s="6"/>
      <c r="C49" s="6"/>
      <c r="D49" s="6"/>
      <c r="E49" s="6"/>
      <c r="F49" s="6"/>
      <c r="G49" s="6"/>
      <c r="H49" s="100"/>
    </row>
    <row r="50" spans="1:8">
      <c r="A50" s="101">
        <v>49</v>
      </c>
      <c r="B50" s="6"/>
      <c r="C50" s="6"/>
      <c r="D50" s="6"/>
      <c r="E50" s="6"/>
      <c r="F50" s="6"/>
      <c r="G50" s="6"/>
      <c r="H50" s="100"/>
    </row>
    <row r="51" spans="1:8">
      <c r="A51" s="101">
        <v>50</v>
      </c>
      <c r="B51" s="6"/>
      <c r="C51" s="6"/>
      <c r="D51" s="6"/>
      <c r="E51" s="6"/>
      <c r="F51" s="6"/>
      <c r="G51" s="6"/>
      <c r="H51" s="100"/>
    </row>
    <row r="52" spans="1:8">
      <c r="A52" s="101">
        <v>51</v>
      </c>
      <c r="B52" s="6"/>
      <c r="C52" s="6"/>
      <c r="D52" s="6"/>
      <c r="E52" s="6"/>
      <c r="F52" s="6"/>
      <c r="G52" s="6"/>
      <c r="H52" s="100"/>
    </row>
    <row r="53" spans="1:8">
      <c r="A53" s="101">
        <v>52</v>
      </c>
      <c r="B53" s="6"/>
      <c r="C53" s="6"/>
      <c r="D53" s="6"/>
      <c r="E53" s="6"/>
      <c r="F53" s="6"/>
      <c r="G53" s="6"/>
      <c r="H53" s="100"/>
    </row>
    <row r="54" spans="1:8">
      <c r="A54" s="101">
        <v>53</v>
      </c>
      <c r="B54" s="6"/>
      <c r="C54" s="6"/>
      <c r="D54" s="6"/>
      <c r="E54" s="6"/>
      <c r="F54" s="6"/>
      <c r="G54" s="6"/>
      <c r="H54" s="100"/>
    </row>
    <row r="55" spans="1:8">
      <c r="A55" s="101">
        <v>54</v>
      </c>
      <c r="B55" s="6"/>
      <c r="C55" s="6"/>
      <c r="D55" s="6"/>
      <c r="E55" s="6"/>
      <c r="F55" s="6"/>
      <c r="G55" s="6"/>
      <c r="H55" s="100"/>
    </row>
    <row r="56" spans="1:8">
      <c r="A56" s="101">
        <v>55</v>
      </c>
      <c r="B56" s="6"/>
      <c r="C56" s="6"/>
      <c r="D56" s="6"/>
      <c r="E56" s="6"/>
      <c r="F56" s="6"/>
      <c r="G56" s="6"/>
      <c r="H56" s="100"/>
    </row>
    <row r="57" spans="1:8">
      <c r="A57" s="101">
        <v>56</v>
      </c>
      <c r="B57" s="6"/>
      <c r="C57" s="6"/>
      <c r="D57" s="6"/>
      <c r="E57" s="6"/>
      <c r="F57" s="6"/>
      <c r="G57" s="6"/>
      <c r="H57" s="100"/>
    </row>
    <row r="58" spans="1:8">
      <c r="A58" s="101">
        <v>57</v>
      </c>
      <c r="B58" s="6"/>
      <c r="C58" s="6"/>
      <c r="D58" s="6"/>
      <c r="E58" s="6"/>
      <c r="F58" s="6"/>
      <c r="G58" s="6"/>
      <c r="H58" s="100"/>
    </row>
    <row r="59" spans="1:8">
      <c r="A59" s="101">
        <v>58</v>
      </c>
      <c r="B59" s="6"/>
      <c r="C59" s="6"/>
      <c r="D59" s="6"/>
      <c r="E59" s="6"/>
      <c r="F59" s="6"/>
      <c r="G59" s="6"/>
      <c r="H59" s="100"/>
    </row>
    <row r="60" spans="1:8">
      <c r="A60" s="101">
        <v>59</v>
      </c>
      <c r="B60" s="6"/>
      <c r="C60" s="6"/>
      <c r="D60" s="6"/>
      <c r="E60" s="6"/>
      <c r="F60" s="6"/>
      <c r="G60" s="6"/>
      <c r="H60" s="100"/>
    </row>
    <row r="61" spans="1:8">
      <c r="A61" s="101">
        <v>60</v>
      </c>
      <c r="B61" s="6"/>
      <c r="C61" s="6"/>
      <c r="D61" s="6"/>
      <c r="E61" s="6"/>
      <c r="F61" s="6"/>
      <c r="G61" s="6"/>
      <c r="H61" s="100"/>
    </row>
    <row r="62" spans="1:8">
      <c r="A62" s="101">
        <v>61</v>
      </c>
      <c r="B62" s="6"/>
      <c r="C62" s="6"/>
      <c r="D62" s="6"/>
      <c r="E62" s="6"/>
      <c r="F62" s="6"/>
      <c r="G62" s="6"/>
      <c r="H62" s="100"/>
    </row>
    <row r="63" spans="1:8">
      <c r="A63" s="101">
        <v>62</v>
      </c>
      <c r="B63" s="6"/>
      <c r="C63" s="6"/>
      <c r="D63" s="6"/>
      <c r="E63" s="6"/>
      <c r="F63" s="6"/>
      <c r="G63" s="6"/>
      <c r="H63" s="100"/>
    </row>
    <row r="64" spans="1:8">
      <c r="A64" s="101">
        <v>63</v>
      </c>
      <c r="B64" s="6"/>
      <c r="C64" s="6"/>
      <c r="D64" s="6"/>
      <c r="E64" s="6"/>
      <c r="F64" s="6"/>
      <c r="G64" s="6"/>
      <c r="H64" s="100"/>
    </row>
    <row r="65" spans="1:8">
      <c r="A65" s="101">
        <v>64</v>
      </c>
      <c r="B65" s="6"/>
      <c r="C65" s="6"/>
      <c r="D65" s="6"/>
      <c r="E65" s="6"/>
      <c r="F65" s="6"/>
      <c r="G65" s="6"/>
      <c r="H65" s="100"/>
    </row>
    <row r="66" spans="1:8">
      <c r="A66" s="101">
        <v>65</v>
      </c>
      <c r="B66" s="6"/>
      <c r="C66" s="6"/>
      <c r="D66" s="6"/>
      <c r="E66" s="6"/>
      <c r="F66" s="6"/>
      <c r="G66" s="6"/>
      <c r="H66" s="100"/>
    </row>
    <row r="67" spans="1:8">
      <c r="A67" s="101">
        <v>66</v>
      </c>
      <c r="B67" s="6"/>
      <c r="C67" s="6"/>
      <c r="D67" s="6"/>
      <c r="E67" s="6"/>
      <c r="F67" s="6"/>
      <c r="G67" s="6"/>
      <c r="H67" s="100"/>
    </row>
    <row r="68" spans="1:8">
      <c r="A68" s="101">
        <v>67</v>
      </c>
      <c r="B68" s="6"/>
      <c r="C68" s="6"/>
      <c r="D68" s="6"/>
      <c r="E68" s="6"/>
      <c r="F68" s="6"/>
      <c r="G68" s="6"/>
      <c r="H68" s="100"/>
    </row>
    <row r="69" spans="1:8">
      <c r="A69" s="101">
        <v>68</v>
      </c>
      <c r="B69" s="6"/>
      <c r="C69" s="6"/>
      <c r="D69" s="6"/>
      <c r="E69" s="6"/>
      <c r="F69" s="6"/>
      <c r="G69" s="6"/>
      <c r="H69" s="100"/>
    </row>
    <row r="70" spans="1:8">
      <c r="A70" s="101">
        <v>69</v>
      </c>
      <c r="B70" s="6"/>
      <c r="C70" s="6"/>
      <c r="D70" s="6"/>
      <c r="E70" s="6"/>
      <c r="F70" s="6"/>
      <c r="G70" s="6"/>
      <c r="H70" s="100"/>
    </row>
    <row r="71" spans="1:8">
      <c r="A71" s="101">
        <v>70</v>
      </c>
      <c r="B71" s="6"/>
      <c r="C71" s="6"/>
      <c r="D71" s="6"/>
      <c r="E71" s="6"/>
      <c r="F71" s="6"/>
      <c r="G71" s="6"/>
      <c r="H71" s="100"/>
    </row>
    <row r="72" spans="1:8">
      <c r="A72" s="101">
        <v>71</v>
      </c>
      <c r="B72" s="6"/>
      <c r="C72" s="6"/>
      <c r="D72" s="6"/>
      <c r="E72" s="6"/>
      <c r="F72" s="6"/>
      <c r="G72" s="6"/>
      <c r="H72" s="100"/>
    </row>
    <row r="73" spans="1:8">
      <c r="A73" s="101">
        <v>72</v>
      </c>
      <c r="B73" s="6"/>
      <c r="C73" s="6"/>
      <c r="D73" s="6"/>
      <c r="E73" s="6"/>
      <c r="F73" s="6"/>
      <c r="G73" s="6"/>
      <c r="H73" s="100"/>
    </row>
    <row r="74" spans="1:8">
      <c r="A74" s="101">
        <v>73</v>
      </c>
      <c r="B74" s="6"/>
      <c r="C74" s="6"/>
      <c r="D74" s="6"/>
      <c r="E74" s="6"/>
      <c r="F74" s="6"/>
      <c r="G74" s="6"/>
      <c r="H74" s="100"/>
    </row>
    <row r="75" spans="1:8">
      <c r="A75" s="101">
        <v>74</v>
      </c>
      <c r="B75" s="6"/>
      <c r="C75" s="6"/>
      <c r="D75" s="6"/>
      <c r="E75" s="6"/>
      <c r="F75" s="6"/>
      <c r="G75" s="6"/>
      <c r="H75" s="100"/>
    </row>
    <row r="76" spans="1:8">
      <c r="A76" s="101">
        <v>75</v>
      </c>
      <c r="B76" s="6"/>
      <c r="C76" s="6"/>
      <c r="D76" s="6"/>
      <c r="E76" s="6"/>
      <c r="F76" s="6"/>
      <c r="G76" s="6"/>
      <c r="H76" s="100"/>
    </row>
    <row r="77" spans="1:8">
      <c r="A77" s="101">
        <v>76</v>
      </c>
      <c r="B77" s="6"/>
      <c r="C77" s="6"/>
      <c r="D77" s="6"/>
      <c r="E77" s="6"/>
      <c r="F77" s="6"/>
      <c r="G77" s="6"/>
      <c r="H77" s="100"/>
    </row>
    <row r="78" spans="1:8">
      <c r="A78" s="101">
        <v>77</v>
      </c>
      <c r="B78" s="6"/>
      <c r="C78" s="6"/>
      <c r="D78" s="6"/>
      <c r="E78" s="6"/>
      <c r="F78" s="6"/>
      <c r="G78" s="6"/>
      <c r="H78" s="100"/>
    </row>
    <row r="79" spans="1:8">
      <c r="A79" s="101">
        <v>78</v>
      </c>
      <c r="B79" s="6"/>
      <c r="C79" s="6"/>
      <c r="D79" s="6"/>
      <c r="E79" s="6"/>
      <c r="F79" s="6"/>
      <c r="G79" s="6"/>
      <c r="H79" s="100"/>
    </row>
    <row r="80" spans="1:8">
      <c r="A80" s="101">
        <v>79</v>
      </c>
      <c r="B80" s="6"/>
      <c r="C80" s="6"/>
      <c r="D80" s="6"/>
      <c r="E80" s="6"/>
      <c r="F80" s="6"/>
      <c r="G80" s="6"/>
      <c r="H80" s="100"/>
    </row>
    <row r="81" spans="1:8">
      <c r="A81" s="101">
        <v>80</v>
      </c>
      <c r="B81" s="6"/>
      <c r="C81" s="6"/>
      <c r="D81" s="6"/>
      <c r="E81" s="6"/>
      <c r="F81" s="6"/>
      <c r="G81" s="6"/>
      <c r="H81" s="100"/>
    </row>
    <row r="82" spans="1:8">
      <c r="A82" s="101">
        <v>81</v>
      </c>
      <c r="B82" s="6"/>
      <c r="C82" s="6"/>
      <c r="D82" s="6"/>
      <c r="E82" s="6"/>
      <c r="F82" s="6"/>
      <c r="G82" s="6"/>
      <c r="H82" s="100"/>
    </row>
    <row r="83" spans="1:8">
      <c r="A83" s="101">
        <v>82</v>
      </c>
      <c r="B83" s="6"/>
      <c r="C83" s="6"/>
      <c r="D83" s="6"/>
      <c r="E83" s="6"/>
      <c r="F83" s="6"/>
      <c r="G83" s="6"/>
      <c r="H83" s="100"/>
    </row>
    <row r="84" spans="1:8">
      <c r="A84" s="101">
        <v>83</v>
      </c>
      <c r="B84" s="6"/>
      <c r="C84" s="6"/>
      <c r="D84" s="6"/>
      <c r="E84" s="6"/>
      <c r="F84" s="6"/>
      <c r="G84" s="6"/>
      <c r="H84" s="100"/>
    </row>
    <row r="85" spans="1:8">
      <c r="A85" s="101">
        <v>84</v>
      </c>
      <c r="B85" s="6"/>
      <c r="C85" s="6"/>
      <c r="D85" s="6"/>
      <c r="E85" s="6"/>
      <c r="F85" s="6"/>
      <c r="G85" s="6"/>
      <c r="H85" s="100"/>
    </row>
    <row r="86" spans="1:8">
      <c r="A86" s="101">
        <v>85</v>
      </c>
      <c r="B86" s="6"/>
      <c r="C86" s="6"/>
      <c r="D86" s="6"/>
      <c r="E86" s="6"/>
      <c r="F86" s="6"/>
      <c r="G86" s="6"/>
      <c r="H86" s="100"/>
    </row>
    <row r="87" spans="1:8">
      <c r="A87" s="101">
        <v>86</v>
      </c>
      <c r="B87" s="6"/>
      <c r="C87" s="6"/>
      <c r="D87" s="6"/>
      <c r="E87" s="6"/>
      <c r="F87" s="6"/>
      <c r="G87" s="6"/>
      <c r="H87" s="100"/>
    </row>
    <row r="88" spans="1:8">
      <c r="A88" s="101">
        <v>87</v>
      </c>
      <c r="B88" s="6"/>
      <c r="C88" s="6"/>
      <c r="D88" s="6"/>
      <c r="E88" s="6"/>
      <c r="F88" s="6"/>
      <c r="G88" s="6"/>
      <c r="H88" s="100"/>
    </row>
    <row r="89" spans="1:8">
      <c r="A89" s="101">
        <v>88</v>
      </c>
      <c r="B89" s="6"/>
      <c r="C89" s="6"/>
      <c r="D89" s="6"/>
      <c r="E89" s="6"/>
      <c r="F89" s="6"/>
      <c r="G89" s="6"/>
      <c r="H89" s="100"/>
    </row>
    <row r="90" spans="1:8">
      <c r="A90" s="101">
        <v>89</v>
      </c>
      <c r="B90" s="6"/>
      <c r="C90" s="6"/>
      <c r="D90" s="6"/>
      <c r="E90" s="6"/>
      <c r="F90" s="6"/>
      <c r="G90" s="6"/>
      <c r="H90" s="100"/>
    </row>
    <row r="91" spans="1:8">
      <c r="A91" s="101">
        <v>90</v>
      </c>
      <c r="B91" s="6"/>
      <c r="C91" s="6"/>
      <c r="D91" s="6"/>
      <c r="E91" s="6"/>
      <c r="F91" s="6"/>
      <c r="G91" s="6"/>
      <c r="H91" s="100"/>
    </row>
    <row r="92" spans="1:8">
      <c r="A92" s="101">
        <v>91</v>
      </c>
      <c r="B92" s="6"/>
      <c r="C92" s="6"/>
      <c r="D92" s="6"/>
      <c r="E92" s="6"/>
      <c r="F92" s="6"/>
      <c r="G92" s="6"/>
      <c r="H92" s="100"/>
    </row>
    <row r="93" spans="1:8">
      <c r="A93" s="101">
        <v>92</v>
      </c>
      <c r="B93" s="6"/>
      <c r="C93" s="6"/>
      <c r="D93" s="6"/>
      <c r="E93" s="6"/>
      <c r="F93" s="6"/>
      <c r="G93" s="6"/>
      <c r="H93" s="100"/>
    </row>
    <row r="94" spans="1:8">
      <c r="A94" s="101">
        <v>93</v>
      </c>
      <c r="B94" s="6"/>
      <c r="C94" s="6"/>
      <c r="D94" s="6"/>
      <c r="E94" s="6"/>
      <c r="F94" s="6"/>
      <c r="G94" s="6"/>
      <c r="H94" s="100"/>
    </row>
    <row r="95" spans="1:8">
      <c r="A95" s="101">
        <v>94</v>
      </c>
      <c r="B95" s="6"/>
      <c r="C95" s="6"/>
      <c r="D95" s="6"/>
      <c r="E95" s="6"/>
      <c r="F95" s="6"/>
      <c r="G95" s="6"/>
      <c r="H95" s="100"/>
    </row>
    <row r="96" spans="1:8">
      <c r="A96" s="101">
        <v>95</v>
      </c>
      <c r="B96" s="6"/>
      <c r="C96" s="6"/>
      <c r="D96" s="6"/>
      <c r="E96" s="6"/>
      <c r="F96" s="6"/>
      <c r="G96" s="6"/>
      <c r="H96" s="100"/>
    </row>
    <row r="97" spans="1:8">
      <c r="A97" s="101">
        <v>96</v>
      </c>
      <c r="B97" s="6"/>
      <c r="C97" s="6"/>
      <c r="D97" s="6"/>
      <c r="E97" s="6"/>
      <c r="F97" s="6"/>
      <c r="G97" s="6"/>
      <c r="H97" s="100"/>
    </row>
    <row r="98" spans="1:8">
      <c r="A98" s="101">
        <v>97</v>
      </c>
      <c r="B98" s="6"/>
      <c r="C98" s="6"/>
      <c r="D98" s="6"/>
      <c r="E98" s="6"/>
      <c r="F98" s="6"/>
      <c r="G98" s="6"/>
      <c r="H98" s="100"/>
    </row>
    <row r="99" spans="1:8">
      <c r="A99" s="101">
        <v>98</v>
      </c>
      <c r="B99" s="6"/>
      <c r="C99" s="6"/>
      <c r="D99" s="6"/>
      <c r="E99" s="6"/>
      <c r="F99" s="6"/>
      <c r="G99" s="6"/>
      <c r="H99" s="100"/>
    </row>
    <row r="100" spans="1:8">
      <c r="A100" s="101">
        <v>99</v>
      </c>
      <c r="B100" s="6"/>
      <c r="C100" s="6"/>
      <c r="D100" s="6"/>
      <c r="E100" s="6"/>
      <c r="F100" s="6"/>
      <c r="G100" s="6"/>
      <c r="H100" s="100"/>
    </row>
    <row r="101" spans="1:8">
      <c r="A101" s="101">
        <v>100</v>
      </c>
      <c r="B101" s="6"/>
      <c r="C101" s="6"/>
      <c r="D101" s="6"/>
      <c r="E101" s="6"/>
      <c r="F101" s="6"/>
      <c r="G101" s="6"/>
      <c r="H101" s="100"/>
    </row>
    <row r="102" spans="1:8">
      <c r="A102" s="101">
        <v>101</v>
      </c>
      <c r="B102" s="6"/>
      <c r="C102" s="6"/>
      <c r="D102" s="6"/>
      <c r="E102" s="6"/>
      <c r="F102" s="6"/>
      <c r="G102" s="6"/>
      <c r="H102" s="100"/>
    </row>
    <row r="103" spans="1:8">
      <c r="A103" s="101">
        <v>102</v>
      </c>
      <c r="B103" s="6"/>
      <c r="C103" s="6"/>
      <c r="D103" s="6"/>
      <c r="E103" s="6"/>
      <c r="F103" s="6"/>
      <c r="G103" s="6"/>
      <c r="H103" s="100"/>
    </row>
    <row r="104" spans="1:8">
      <c r="A104" s="101">
        <v>103</v>
      </c>
      <c r="B104" s="6"/>
      <c r="C104" s="6"/>
      <c r="D104" s="6"/>
      <c r="E104" s="6"/>
      <c r="F104" s="6"/>
      <c r="G104" s="6"/>
      <c r="H104" s="100"/>
    </row>
    <row r="105" spans="1:8">
      <c r="A105" s="101">
        <v>104</v>
      </c>
      <c r="B105" s="6"/>
      <c r="C105" s="6"/>
      <c r="D105" s="6"/>
      <c r="E105" s="6"/>
      <c r="F105" s="6"/>
      <c r="G105" s="6"/>
      <c r="H105" s="100"/>
    </row>
    <row r="106" spans="1:8">
      <c r="A106" s="101">
        <v>105</v>
      </c>
      <c r="B106" s="6"/>
      <c r="C106" s="6"/>
      <c r="D106" s="6"/>
      <c r="E106" s="6"/>
      <c r="F106" s="6"/>
      <c r="G106" s="6"/>
      <c r="H106" s="100"/>
    </row>
    <row r="107" spans="1:8">
      <c r="A107" s="101">
        <v>106</v>
      </c>
      <c r="B107" s="6"/>
      <c r="C107" s="6"/>
      <c r="D107" s="6"/>
      <c r="E107" s="6"/>
      <c r="F107" s="6"/>
      <c r="G107" s="6"/>
      <c r="H107" s="100"/>
    </row>
    <row r="108" spans="1:8">
      <c r="A108" s="101">
        <v>107</v>
      </c>
      <c r="B108" s="6"/>
      <c r="C108" s="6"/>
      <c r="D108" s="6"/>
      <c r="E108" s="6"/>
      <c r="F108" s="6"/>
      <c r="G108" s="6"/>
      <c r="H108" s="100"/>
    </row>
    <row r="109" spans="1:8">
      <c r="A109" s="101">
        <v>108</v>
      </c>
      <c r="B109" s="6"/>
      <c r="C109" s="6"/>
      <c r="D109" s="6"/>
      <c r="E109" s="6"/>
      <c r="F109" s="6"/>
      <c r="G109" s="6"/>
      <c r="H109" s="100"/>
    </row>
    <row r="110" spans="1:8">
      <c r="A110" s="101">
        <v>109</v>
      </c>
      <c r="B110" s="6"/>
      <c r="C110" s="6"/>
      <c r="D110" s="6"/>
      <c r="E110" s="6"/>
      <c r="F110" s="6"/>
      <c r="G110" s="6"/>
      <c r="H110" s="100"/>
    </row>
    <row r="111" spans="1:8">
      <c r="A111" s="101">
        <v>110</v>
      </c>
      <c r="B111" s="6"/>
      <c r="C111" s="6"/>
      <c r="D111" s="6"/>
      <c r="E111" s="6"/>
      <c r="F111" s="6"/>
      <c r="G111" s="6"/>
      <c r="H111" s="100"/>
    </row>
    <row r="112" spans="1:8">
      <c r="A112" s="101">
        <v>111</v>
      </c>
      <c r="B112" s="6"/>
      <c r="C112" s="6"/>
      <c r="D112" s="6"/>
      <c r="E112" s="6"/>
      <c r="F112" s="6"/>
      <c r="G112" s="6"/>
      <c r="H112" s="100"/>
    </row>
    <row r="113" spans="1:8">
      <c r="A113" s="101">
        <v>112</v>
      </c>
      <c r="B113" s="6"/>
      <c r="C113" s="6"/>
      <c r="D113" s="6"/>
      <c r="E113" s="6"/>
      <c r="F113" s="6"/>
      <c r="G113" s="6"/>
      <c r="H113" s="100"/>
    </row>
    <row r="114" spans="1:8">
      <c r="A114" s="101">
        <v>113</v>
      </c>
      <c r="B114" s="6"/>
      <c r="C114" s="6"/>
      <c r="D114" s="6"/>
      <c r="E114" s="6"/>
      <c r="F114" s="6"/>
      <c r="G114" s="6"/>
      <c r="H114" s="100"/>
    </row>
    <row r="115" spans="1:8">
      <c r="A115" s="101">
        <v>114</v>
      </c>
      <c r="B115" s="6"/>
      <c r="C115" s="6"/>
      <c r="D115" s="6"/>
      <c r="E115" s="6"/>
      <c r="F115" s="6"/>
      <c r="G115" s="6"/>
      <c r="H115" s="100"/>
    </row>
    <row r="116" spans="1:8">
      <c r="A116" s="101">
        <v>115</v>
      </c>
      <c r="B116" s="6"/>
      <c r="C116" s="6"/>
      <c r="D116" s="6"/>
      <c r="E116" s="6"/>
      <c r="F116" s="6"/>
      <c r="G116" s="6"/>
      <c r="H116" s="100"/>
    </row>
    <row r="117" spans="1:8">
      <c r="A117" s="101">
        <v>116</v>
      </c>
      <c r="B117" s="6"/>
      <c r="C117" s="6"/>
      <c r="D117" s="6"/>
      <c r="E117" s="6"/>
      <c r="F117" s="6"/>
      <c r="G117" s="6"/>
      <c r="H117" s="100"/>
    </row>
    <row r="118" spans="1:8">
      <c r="A118" s="101">
        <v>117</v>
      </c>
      <c r="B118" s="6"/>
      <c r="C118" s="6"/>
      <c r="D118" s="6"/>
      <c r="E118" s="6"/>
      <c r="F118" s="6"/>
      <c r="G118" s="6"/>
      <c r="H118" s="100"/>
    </row>
    <row r="119" spans="1:8">
      <c r="A119" s="101">
        <v>118</v>
      </c>
      <c r="B119" s="6"/>
      <c r="C119" s="6"/>
      <c r="D119" s="6"/>
      <c r="E119" s="6"/>
      <c r="F119" s="6"/>
      <c r="G119" s="6"/>
      <c r="H119" s="100"/>
    </row>
    <row r="120" spans="1:8">
      <c r="A120" s="101">
        <v>119</v>
      </c>
      <c r="B120" s="6"/>
      <c r="C120" s="6"/>
      <c r="D120" s="6"/>
      <c r="E120" s="6"/>
      <c r="F120" s="6"/>
      <c r="G120" s="6"/>
      <c r="H120" s="100"/>
    </row>
    <row r="121" spans="1:8">
      <c r="A121" s="101">
        <v>120</v>
      </c>
      <c r="B121" s="6"/>
      <c r="C121" s="6"/>
      <c r="D121" s="6"/>
      <c r="E121" s="6"/>
      <c r="F121" s="6"/>
      <c r="G121" s="6"/>
      <c r="H121" s="100"/>
    </row>
    <row r="122" spans="1:8">
      <c r="A122" s="101"/>
      <c r="B122" s="6"/>
      <c r="C122" s="6"/>
      <c r="D122" s="6"/>
      <c r="E122" s="6"/>
      <c r="F122" s="6"/>
      <c r="G122" s="6"/>
      <c r="H122" s="100"/>
    </row>
    <row r="123" spans="1:8">
      <c r="A123" s="101"/>
      <c r="B123" s="6"/>
      <c r="C123" s="6"/>
      <c r="D123" s="6"/>
      <c r="E123" s="6"/>
      <c r="F123" s="6"/>
      <c r="G123" s="6"/>
      <c r="H123" s="100"/>
    </row>
    <row r="124" spans="1:8">
      <c r="A124" s="101"/>
      <c r="B124" s="6"/>
      <c r="C124" s="6"/>
      <c r="D124" s="6"/>
      <c r="E124" s="6"/>
      <c r="F124" s="6"/>
      <c r="G124" s="6"/>
      <c r="H124" s="100"/>
    </row>
    <row r="125" spans="1:8">
      <c r="A125" s="101"/>
      <c r="B125" s="6"/>
      <c r="C125" s="6"/>
      <c r="D125" s="6"/>
      <c r="E125" s="6"/>
      <c r="F125" s="6"/>
      <c r="G125" s="6"/>
      <c r="H125" s="100"/>
    </row>
    <row r="126" spans="1:8">
      <c r="A126" s="101"/>
      <c r="B126" s="6"/>
      <c r="C126" s="6"/>
      <c r="D126" s="6"/>
      <c r="E126" s="6"/>
      <c r="F126" s="6"/>
      <c r="G126" s="6"/>
      <c r="H126" s="100"/>
    </row>
    <row r="127" spans="1:8">
      <c r="A127" s="101"/>
      <c r="B127" s="6"/>
      <c r="C127" s="6"/>
      <c r="D127" s="6"/>
      <c r="E127" s="6"/>
      <c r="F127" s="6"/>
      <c r="G127" s="6"/>
      <c r="H127" s="100"/>
    </row>
    <row r="128" spans="1:8">
      <c r="A128" s="101"/>
      <c r="B128" s="6"/>
      <c r="C128" s="6"/>
      <c r="D128" s="6"/>
      <c r="E128" s="6"/>
      <c r="F128" s="6"/>
      <c r="G128" s="6"/>
      <c r="H128" s="100"/>
    </row>
    <row r="129" spans="1:8">
      <c r="A129" s="101"/>
      <c r="B129" s="6"/>
      <c r="C129" s="6"/>
      <c r="D129" s="6"/>
      <c r="E129" s="6"/>
      <c r="F129" s="6"/>
      <c r="G129" s="6"/>
      <c r="H129" s="100"/>
    </row>
    <row r="130" spans="1:8">
      <c r="A130" s="101"/>
      <c r="B130" s="6"/>
      <c r="C130" s="6"/>
      <c r="D130" s="6"/>
      <c r="E130" s="6"/>
      <c r="F130" s="6"/>
      <c r="G130" s="6"/>
      <c r="H130" s="100"/>
    </row>
    <row r="131" spans="1:8">
      <c r="A131" s="101"/>
      <c r="B131" s="6"/>
      <c r="C131" s="6"/>
      <c r="D131" s="6"/>
      <c r="E131" s="6"/>
      <c r="F131" s="6"/>
      <c r="G131" s="6"/>
      <c r="H131" s="100"/>
    </row>
    <row r="132" spans="1:8">
      <c r="A132" s="101"/>
      <c r="B132" s="6"/>
      <c r="C132" s="6"/>
      <c r="D132" s="6"/>
      <c r="E132" s="6"/>
      <c r="F132" s="6"/>
      <c r="G132" s="6"/>
      <c r="H132" s="100"/>
    </row>
    <row r="133" spans="1:8">
      <c r="A133" s="101"/>
      <c r="B133" s="6"/>
      <c r="C133" s="6"/>
      <c r="D133" s="6"/>
      <c r="E133" s="6"/>
      <c r="F133" s="6"/>
      <c r="G133" s="6"/>
      <c r="H133" s="100"/>
    </row>
    <row r="134" spans="1:8">
      <c r="A134" s="101"/>
      <c r="B134" s="6"/>
      <c r="C134" s="6"/>
      <c r="D134" s="6"/>
      <c r="E134" s="6"/>
      <c r="F134" s="6"/>
      <c r="G134" s="6"/>
      <c r="H134" s="100"/>
    </row>
    <row r="135" spans="1:8">
      <c r="A135" s="101"/>
      <c r="B135" s="6"/>
      <c r="C135" s="6"/>
      <c r="D135" s="6"/>
      <c r="E135" s="6"/>
      <c r="F135" s="6"/>
      <c r="G135" s="6"/>
      <c r="H135" s="100"/>
    </row>
    <row r="136" spans="1:8">
      <c r="A136" s="49"/>
      <c r="B136" s="39"/>
      <c r="C136" s="39"/>
      <c r="D136" s="39"/>
      <c r="E136" s="45"/>
      <c r="F136" s="45"/>
      <c r="G136" s="45"/>
      <c r="H136" s="9"/>
    </row>
    <row r="137" spans="1:8">
      <c r="A137" s="49"/>
      <c r="B137" s="39"/>
      <c r="C137" s="39"/>
      <c r="D137" s="39"/>
      <c r="E137" s="45"/>
      <c r="F137" s="45"/>
      <c r="G137" s="45"/>
      <c r="H137" s="9"/>
    </row>
    <row r="138" spans="1:8">
      <c r="A138" s="49"/>
      <c r="B138" s="39"/>
      <c r="C138" s="39"/>
      <c r="D138" s="39"/>
      <c r="E138" s="45"/>
      <c r="F138" s="45"/>
      <c r="G138" s="45"/>
      <c r="H138" s="9"/>
    </row>
    <row r="139" spans="1:8">
      <c r="A139" s="49"/>
      <c r="B139" s="39"/>
      <c r="C139" s="39"/>
      <c r="D139" s="39"/>
      <c r="E139" s="45"/>
      <c r="F139" s="45"/>
      <c r="G139" s="45"/>
      <c r="H139" s="9"/>
    </row>
    <row r="140" spans="1:8">
      <c r="A140" s="49"/>
      <c r="B140" s="39"/>
      <c r="C140" s="39"/>
      <c r="D140" s="39"/>
      <c r="E140" s="45"/>
      <c r="F140" s="45"/>
      <c r="G140" s="45"/>
      <c r="H140" s="9"/>
    </row>
    <row r="141" spans="1:8">
      <c r="A141" s="49"/>
      <c r="B141" s="39"/>
      <c r="C141" s="39"/>
      <c r="D141" s="39"/>
      <c r="E141" s="45"/>
      <c r="F141" s="45"/>
      <c r="G141" s="45"/>
      <c r="H141" s="9"/>
    </row>
    <row r="142" spans="1:8">
      <c r="A142" s="49"/>
      <c r="B142" s="39"/>
      <c r="C142" s="39"/>
      <c r="D142" s="39"/>
      <c r="E142" s="45"/>
      <c r="F142" s="45"/>
      <c r="G142" s="45"/>
      <c r="H142" s="9"/>
    </row>
    <row r="143" spans="1:8">
      <c r="A143" s="49"/>
      <c r="B143" s="39"/>
      <c r="C143" s="39"/>
      <c r="D143" s="39"/>
      <c r="E143" s="45"/>
      <c r="F143" s="45"/>
      <c r="G143" s="45"/>
      <c r="H143" s="9"/>
    </row>
    <row r="144" spans="1:8">
      <c r="A144" s="49"/>
      <c r="B144" s="39"/>
      <c r="C144" s="39"/>
      <c r="D144" s="39"/>
      <c r="E144" s="45"/>
      <c r="F144" s="45"/>
      <c r="G144" s="45"/>
      <c r="H144" s="9"/>
    </row>
    <row r="145" spans="1:8">
      <c r="A145" s="49"/>
      <c r="B145" s="39"/>
      <c r="C145" s="39"/>
      <c r="D145" s="39"/>
      <c r="E145" s="45"/>
      <c r="F145" s="45"/>
      <c r="G145" s="45"/>
      <c r="H145" s="9"/>
    </row>
    <row r="146" spans="1:8">
      <c r="A146" s="49"/>
      <c r="B146" s="39"/>
      <c r="C146" s="39"/>
      <c r="D146" s="39"/>
      <c r="E146" s="45"/>
      <c r="F146" s="45"/>
      <c r="G146" s="45"/>
      <c r="H146" s="9"/>
    </row>
    <row r="147" spans="1:8">
      <c r="A147" s="49"/>
      <c r="B147" s="39"/>
      <c r="C147" s="39"/>
      <c r="D147" s="39"/>
      <c r="E147" s="45"/>
      <c r="F147" s="45"/>
      <c r="G147" s="45"/>
      <c r="H147" s="9"/>
    </row>
    <row r="148" spans="1:8">
      <c r="A148" s="49"/>
      <c r="B148" s="39"/>
      <c r="C148" s="39"/>
      <c r="D148" s="39"/>
      <c r="E148" s="45"/>
      <c r="F148" s="45"/>
      <c r="G148" s="45"/>
      <c r="H148" s="9"/>
    </row>
  </sheetData>
  <mergeCells count="1">
    <mergeCell ref="H1:R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2">
    <tabColor rgb="FF7030A0"/>
    <pageSetUpPr fitToPage="1"/>
  </sheetPr>
  <dimension ref="A1:K22"/>
  <sheetViews>
    <sheetView workbookViewId="0">
      <selection activeCell="D12" sqref="D12"/>
    </sheetView>
  </sheetViews>
  <sheetFormatPr defaultRowHeight="15"/>
  <cols>
    <col min="1" max="1" width="16.7109375" customWidth="1"/>
    <col min="4" max="5" width="18.28515625" style="26" customWidth="1"/>
    <col min="6" max="6" width="1.42578125" style="7" customWidth="1"/>
    <col min="7" max="7" width="16.42578125" customWidth="1"/>
    <col min="10" max="11" width="18.28515625" style="26" customWidth="1"/>
  </cols>
  <sheetData>
    <row r="1" spans="1:11" s="7" customFormat="1">
      <c r="A1" s="330" t="s">
        <v>15</v>
      </c>
      <c r="B1" s="331"/>
      <c r="C1" s="331"/>
      <c r="D1" s="331"/>
      <c r="E1" s="332"/>
      <c r="F1" s="342"/>
      <c r="G1" s="336" t="s">
        <v>19</v>
      </c>
      <c r="H1" s="337"/>
      <c r="I1" s="337"/>
      <c r="J1" s="337"/>
      <c r="K1" s="338"/>
    </row>
    <row r="2" spans="1:11">
      <c r="A2" s="333"/>
      <c r="B2" s="334"/>
      <c r="C2" s="334"/>
      <c r="D2" s="334"/>
      <c r="E2" s="335"/>
      <c r="F2" s="343"/>
      <c r="G2" s="339"/>
      <c r="H2" s="340"/>
      <c r="I2" s="340"/>
      <c r="J2" s="340"/>
      <c r="K2" s="341"/>
    </row>
    <row r="3" spans="1:11">
      <c r="A3" s="14" t="s">
        <v>16</v>
      </c>
      <c r="B3" s="15">
        <v>1732</v>
      </c>
      <c r="C3" s="12" t="s">
        <v>11</v>
      </c>
      <c r="D3" s="24" t="s">
        <v>13</v>
      </c>
      <c r="E3" s="24"/>
      <c r="F3" s="32"/>
      <c r="G3" s="28" t="s">
        <v>20</v>
      </c>
      <c r="H3" s="13">
        <v>1732</v>
      </c>
      <c r="I3" s="12" t="s">
        <v>11</v>
      </c>
      <c r="J3" s="24" t="s">
        <v>13</v>
      </c>
      <c r="K3" s="27"/>
    </row>
    <row r="4" spans="1:11" ht="30" customHeight="1">
      <c r="A4" s="12" t="s">
        <v>28</v>
      </c>
      <c r="B4" s="16"/>
      <c r="C4" s="17">
        <v>1</v>
      </c>
      <c r="D4" s="23"/>
      <c r="E4" s="24"/>
      <c r="F4" s="31"/>
      <c r="G4" s="12" t="s">
        <v>28</v>
      </c>
      <c r="H4" s="16"/>
      <c r="I4" s="17">
        <v>1</v>
      </c>
      <c r="J4" s="24"/>
      <c r="K4" s="24"/>
    </row>
    <row r="5" spans="1:11" ht="30" customHeight="1">
      <c r="A5" s="12" t="s">
        <v>31</v>
      </c>
      <c r="B5" s="16"/>
      <c r="C5" s="17">
        <v>1</v>
      </c>
      <c r="D5" s="23"/>
      <c r="E5" s="24"/>
      <c r="F5" s="31"/>
      <c r="G5" s="12" t="s">
        <v>31</v>
      </c>
      <c r="H5" s="16"/>
      <c r="I5" s="17">
        <v>1</v>
      </c>
      <c r="J5" s="24"/>
      <c r="K5" s="24"/>
    </row>
    <row r="6" spans="1:11" ht="30" customHeight="1">
      <c r="A6" s="12" t="s">
        <v>32</v>
      </c>
      <c r="B6" s="16"/>
      <c r="C6" s="17">
        <v>1</v>
      </c>
      <c r="D6" s="23"/>
      <c r="E6" s="24"/>
      <c r="F6" s="31"/>
      <c r="G6" s="12" t="s">
        <v>32</v>
      </c>
      <c r="H6" s="16"/>
      <c r="I6" s="17">
        <v>1</v>
      </c>
      <c r="J6" s="24"/>
      <c r="K6" s="24"/>
    </row>
    <row r="7" spans="1:11" ht="30" customHeight="1">
      <c r="A7" s="12" t="s">
        <v>17</v>
      </c>
      <c r="B7" s="16"/>
      <c r="C7" s="17">
        <v>1</v>
      </c>
      <c r="D7" s="23"/>
      <c r="E7" s="24"/>
      <c r="F7" s="31"/>
      <c r="G7" s="12" t="s">
        <v>17</v>
      </c>
      <c r="H7" s="16"/>
      <c r="I7" s="17">
        <v>1</v>
      </c>
      <c r="J7" s="24"/>
      <c r="K7" s="24"/>
    </row>
    <row r="8" spans="1:11" ht="30" customHeight="1">
      <c r="A8" s="12" t="s">
        <v>33</v>
      </c>
      <c r="B8" s="18"/>
      <c r="C8" s="19">
        <v>1</v>
      </c>
      <c r="D8" s="25"/>
      <c r="E8" s="24"/>
      <c r="F8" s="31"/>
      <c r="G8" s="12" t="s">
        <v>33</v>
      </c>
      <c r="H8" s="16"/>
      <c r="I8" s="17">
        <v>1</v>
      </c>
      <c r="J8" s="24"/>
      <c r="K8" s="24"/>
    </row>
    <row r="9" spans="1:11">
      <c r="A9" s="33"/>
      <c r="B9" s="29"/>
      <c r="C9" s="29"/>
      <c r="D9" s="30"/>
      <c r="E9" s="30"/>
      <c r="F9" s="29"/>
      <c r="G9" s="31"/>
      <c r="H9" s="31"/>
      <c r="I9" s="31"/>
      <c r="J9" s="34"/>
      <c r="K9" s="35"/>
    </row>
    <row r="10" spans="1:11">
      <c r="A10" s="14" t="s">
        <v>23</v>
      </c>
      <c r="B10" s="15">
        <v>1732</v>
      </c>
      <c r="C10" s="12" t="s">
        <v>11</v>
      </c>
      <c r="D10" s="24" t="s">
        <v>13</v>
      </c>
      <c r="E10" s="24"/>
      <c r="F10" s="31"/>
      <c r="G10" s="28" t="s">
        <v>21</v>
      </c>
      <c r="H10" s="13">
        <v>1732</v>
      </c>
      <c r="I10" s="12" t="s">
        <v>11</v>
      </c>
      <c r="J10" s="24" t="s">
        <v>13</v>
      </c>
      <c r="K10" s="27"/>
    </row>
    <row r="11" spans="1:11" ht="30" customHeight="1">
      <c r="A11" s="12" t="s">
        <v>28</v>
      </c>
      <c r="B11" s="16"/>
      <c r="C11" s="17">
        <v>1</v>
      </c>
      <c r="D11" s="23"/>
      <c r="E11" s="24"/>
      <c r="F11" s="31"/>
      <c r="G11" s="12" t="s">
        <v>28</v>
      </c>
      <c r="H11" s="16"/>
      <c r="I11" s="17">
        <v>1</v>
      </c>
      <c r="J11" s="24"/>
      <c r="K11" s="24"/>
    </row>
    <row r="12" spans="1:11" ht="30" customHeight="1">
      <c r="A12" s="12" t="s">
        <v>31</v>
      </c>
      <c r="B12" s="16"/>
      <c r="C12" s="17">
        <v>1</v>
      </c>
      <c r="D12" s="23"/>
      <c r="E12" s="24"/>
      <c r="F12" s="31"/>
      <c r="G12" s="12" t="s">
        <v>31</v>
      </c>
      <c r="H12" s="16"/>
      <c r="I12" s="17">
        <v>1</v>
      </c>
      <c r="J12" s="24"/>
      <c r="K12" s="24"/>
    </row>
    <row r="13" spans="1:11" ht="30" customHeight="1">
      <c r="A13" s="12" t="s">
        <v>32</v>
      </c>
      <c r="B13" s="16"/>
      <c r="C13" s="17">
        <v>1</v>
      </c>
      <c r="D13" s="23"/>
      <c r="E13" s="24"/>
      <c r="F13" s="31"/>
      <c r="G13" s="12" t="s">
        <v>32</v>
      </c>
      <c r="H13" s="16"/>
      <c r="I13" s="17">
        <v>1</v>
      </c>
      <c r="J13" s="24"/>
      <c r="K13" s="24"/>
    </row>
    <row r="14" spans="1:11" ht="30" customHeight="1">
      <c r="A14" s="12" t="s">
        <v>17</v>
      </c>
      <c r="B14" s="16"/>
      <c r="C14" s="17">
        <v>1</v>
      </c>
      <c r="D14" s="23"/>
      <c r="E14" s="24"/>
      <c r="F14" s="31"/>
      <c r="G14" s="12" t="s">
        <v>17</v>
      </c>
      <c r="H14" s="16"/>
      <c r="I14" s="17">
        <v>1</v>
      </c>
      <c r="J14" s="24"/>
      <c r="K14" s="24"/>
    </row>
    <row r="15" spans="1:11" ht="30" customHeight="1">
      <c r="A15" s="12" t="s">
        <v>33</v>
      </c>
      <c r="B15" s="18"/>
      <c r="C15" s="19">
        <v>1</v>
      </c>
      <c r="D15" s="25"/>
      <c r="E15" s="24"/>
      <c r="F15" s="31"/>
      <c r="G15" s="12" t="s">
        <v>33</v>
      </c>
      <c r="H15" s="16"/>
      <c r="I15" s="17">
        <v>1</v>
      </c>
      <c r="J15" s="24"/>
      <c r="K15" s="24"/>
    </row>
    <row r="16" spans="1:11">
      <c r="A16" s="33"/>
      <c r="B16" s="29"/>
      <c r="C16" s="29"/>
      <c r="D16" s="30"/>
      <c r="E16" s="30"/>
      <c r="F16" s="29"/>
      <c r="G16" s="31"/>
      <c r="H16" s="31"/>
      <c r="I16" s="31"/>
      <c r="J16" s="34"/>
      <c r="K16" s="35"/>
    </row>
    <row r="17" spans="1:11">
      <c r="A17" s="14" t="s">
        <v>24</v>
      </c>
      <c r="B17" s="15">
        <v>1732</v>
      </c>
      <c r="C17" s="12" t="s">
        <v>11</v>
      </c>
      <c r="D17" s="24" t="s">
        <v>13</v>
      </c>
      <c r="E17" s="24"/>
      <c r="F17" s="31"/>
      <c r="G17" s="28" t="s">
        <v>22</v>
      </c>
      <c r="H17" s="13">
        <v>1732</v>
      </c>
      <c r="I17" s="12" t="s">
        <v>11</v>
      </c>
      <c r="J17" s="24" t="s">
        <v>13</v>
      </c>
      <c r="K17" s="27"/>
    </row>
    <row r="18" spans="1:11" ht="30" customHeight="1">
      <c r="A18" s="12" t="s">
        <v>28</v>
      </c>
      <c r="B18" s="16"/>
      <c r="C18" s="17">
        <v>1</v>
      </c>
      <c r="D18" s="23"/>
      <c r="E18" s="24"/>
      <c r="F18" s="31"/>
      <c r="G18" s="12" t="s">
        <v>28</v>
      </c>
      <c r="H18" s="16"/>
      <c r="I18" s="17">
        <v>1</v>
      </c>
      <c r="J18" s="24"/>
      <c r="K18" s="24"/>
    </row>
    <row r="19" spans="1:11" ht="30" customHeight="1">
      <c r="A19" s="12" t="s">
        <v>31</v>
      </c>
      <c r="B19" s="16"/>
      <c r="C19" s="17">
        <v>1</v>
      </c>
      <c r="D19" s="23"/>
      <c r="E19" s="24"/>
      <c r="F19" s="31"/>
      <c r="G19" s="12" t="s">
        <v>31</v>
      </c>
      <c r="H19" s="16"/>
      <c r="I19" s="17">
        <v>1</v>
      </c>
      <c r="J19" s="24"/>
      <c r="K19" s="24"/>
    </row>
    <row r="20" spans="1:11" ht="30" customHeight="1">
      <c r="A20" s="12" t="s">
        <v>32</v>
      </c>
      <c r="B20" s="16"/>
      <c r="C20" s="17">
        <v>1</v>
      </c>
      <c r="D20" s="23"/>
      <c r="E20" s="24"/>
      <c r="F20" s="31"/>
      <c r="G20" s="12" t="s">
        <v>32</v>
      </c>
      <c r="H20" s="16"/>
      <c r="I20" s="17">
        <v>1</v>
      </c>
      <c r="J20" s="24"/>
      <c r="K20" s="24"/>
    </row>
    <row r="21" spans="1:11" ht="30" customHeight="1">
      <c r="A21" s="12" t="s">
        <v>17</v>
      </c>
      <c r="B21" s="16"/>
      <c r="C21" s="17">
        <v>1</v>
      </c>
      <c r="D21" s="23"/>
      <c r="E21" s="24"/>
      <c r="F21" s="31"/>
      <c r="G21" s="12" t="s">
        <v>17</v>
      </c>
      <c r="H21" s="16"/>
      <c r="I21" s="17">
        <v>1</v>
      </c>
      <c r="J21" s="24"/>
      <c r="K21" s="24"/>
    </row>
    <row r="22" spans="1:11" ht="30" customHeight="1">
      <c r="A22" s="12" t="s">
        <v>33</v>
      </c>
      <c r="B22" s="18"/>
      <c r="C22" s="19">
        <v>1</v>
      </c>
      <c r="D22" s="25"/>
      <c r="E22" s="24"/>
      <c r="F22" s="31"/>
      <c r="G22" s="12" t="s">
        <v>33</v>
      </c>
      <c r="H22" s="16"/>
      <c r="I22" s="17">
        <v>1</v>
      </c>
      <c r="J22" s="24"/>
      <c r="K22" s="24"/>
    </row>
  </sheetData>
  <mergeCells count="3">
    <mergeCell ref="A1:E2"/>
    <mergeCell ref="G1:K2"/>
    <mergeCell ref="F1:F2"/>
  </mergeCells>
  <pageMargins left="0.7" right="0.7" top="0.75" bottom="0.75" header="0.3" footer="0.3"/>
  <pageSetup scale="84" orientation="landscape" verticalDpi="0" r:id="rId1"/>
  <legacyDrawing r:id="rId2"/>
</worksheet>
</file>

<file path=xl/worksheets/sheet13.xml><?xml version="1.0" encoding="utf-8"?>
<worksheet xmlns="http://schemas.openxmlformats.org/spreadsheetml/2006/main" xmlns:r="http://schemas.openxmlformats.org/officeDocument/2006/relationships">
  <sheetPr codeName="Sheet13">
    <tabColor rgb="FF7030A0"/>
    <pageSetUpPr fitToPage="1"/>
  </sheetPr>
  <dimension ref="A1:O47"/>
  <sheetViews>
    <sheetView workbookViewId="0">
      <selection activeCell="E27" sqref="E27:G27"/>
    </sheetView>
  </sheetViews>
  <sheetFormatPr defaultRowHeight="15"/>
  <cols>
    <col min="4" max="4" width="11.42578125" customWidth="1"/>
    <col min="5" max="5" width="9.42578125" customWidth="1"/>
    <col min="6" max="6" width="9.85546875" style="7" customWidth="1"/>
    <col min="7" max="7" width="23.85546875" customWidth="1"/>
    <col min="8" max="8" width="2.85546875" customWidth="1"/>
    <col min="12" max="12" width="11.42578125" customWidth="1"/>
    <col min="13" max="13" width="9.42578125" customWidth="1"/>
    <col min="14" max="14" width="9.85546875" style="7" customWidth="1"/>
    <col min="15" max="15" width="23.85546875" customWidth="1"/>
  </cols>
  <sheetData>
    <row r="1" spans="1:15" s="7" customFormat="1">
      <c r="A1" s="367" t="s">
        <v>26</v>
      </c>
      <c r="B1" s="367"/>
      <c r="C1" s="11"/>
      <c r="D1" s="29"/>
      <c r="E1" s="29"/>
      <c r="F1" s="29"/>
      <c r="G1" s="29"/>
      <c r="H1" s="29"/>
      <c r="I1" s="29"/>
      <c r="J1" s="29"/>
      <c r="K1" s="29"/>
      <c r="L1" s="29"/>
      <c r="M1" s="29"/>
      <c r="N1" s="29"/>
      <c r="O1" s="29"/>
    </row>
    <row r="2" spans="1:15">
      <c r="A2" s="350" t="s">
        <v>15</v>
      </c>
      <c r="B2" s="351"/>
      <c r="C2" s="351"/>
      <c r="D2" s="351"/>
      <c r="E2" s="351"/>
      <c r="F2" s="351"/>
      <c r="G2" s="352"/>
      <c r="H2" s="29"/>
      <c r="I2" s="357" t="s">
        <v>19</v>
      </c>
      <c r="J2" s="358"/>
      <c r="K2" s="358"/>
      <c r="L2" s="358"/>
      <c r="M2" s="358"/>
      <c r="N2" s="358"/>
      <c r="O2" s="359"/>
    </row>
    <row r="3" spans="1:15" s="7" customFormat="1">
      <c r="A3" s="353"/>
      <c r="B3" s="354"/>
      <c r="C3" s="354"/>
      <c r="D3" s="354"/>
      <c r="E3" s="355"/>
      <c r="F3" s="355"/>
      <c r="G3" s="356"/>
      <c r="H3" s="29"/>
      <c r="I3" s="360"/>
      <c r="J3" s="361"/>
      <c r="K3" s="361"/>
      <c r="L3" s="361"/>
      <c r="M3" s="362"/>
      <c r="N3" s="362"/>
      <c r="O3" s="363"/>
    </row>
    <row r="4" spans="1:15">
      <c r="A4" s="14" t="s">
        <v>16</v>
      </c>
      <c r="B4" s="12" t="s">
        <v>28</v>
      </c>
      <c r="C4" s="12" t="s">
        <v>29</v>
      </c>
      <c r="D4" s="16" t="s">
        <v>35</v>
      </c>
      <c r="E4" s="54" t="s">
        <v>17</v>
      </c>
      <c r="F4" s="53" t="s">
        <v>30</v>
      </c>
      <c r="G4" s="50"/>
      <c r="H4" s="29"/>
      <c r="I4" s="28" t="s">
        <v>20</v>
      </c>
      <c r="J4" s="12" t="s">
        <v>28</v>
      </c>
      <c r="K4" s="12" t="s">
        <v>29</v>
      </c>
      <c r="L4" s="16" t="s">
        <v>34</v>
      </c>
      <c r="M4" s="54" t="s">
        <v>17</v>
      </c>
      <c r="N4" s="53" t="s">
        <v>30</v>
      </c>
      <c r="O4" s="50"/>
    </row>
    <row r="5" spans="1:15">
      <c r="A5" s="13"/>
      <c r="B5" s="12"/>
      <c r="C5" s="12"/>
      <c r="D5" s="16"/>
      <c r="E5" s="55"/>
      <c r="F5" s="52"/>
      <c r="G5" s="51"/>
      <c r="H5" s="29"/>
      <c r="I5" s="13"/>
      <c r="J5" s="12"/>
      <c r="K5" s="12"/>
      <c r="L5" s="16"/>
      <c r="M5" s="55"/>
      <c r="N5" s="52"/>
      <c r="O5" s="51"/>
    </row>
    <row r="6" spans="1:15">
      <c r="A6" s="12" t="s">
        <v>18</v>
      </c>
      <c r="B6" s="12">
        <v>1</v>
      </c>
      <c r="C6" s="12">
        <v>1</v>
      </c>
      <c r="D6" s="16">
        <v>1</v>
      </c>
      <c r="E6" s="56">
        <v>1</v>
      </c>
      <c r="F6" s="57">
        <v>1</v>
      </c>
      <c r="G6" s="19"/>
      <c r="H6" s="29"/>
      <c r="I6" s="12" t="s">
        <v>18</v>
      </c>
      <c r="J6" s="12">
        <v>1</v>
      </c>
      <c r="K6" s="12">
        <v>1</v>
      </c>
      <c r="L6" s="16">
        <v>1</v>
      </c>
      <c r="M6" s="56">
        <v>1</v>
      </c>
      <c r="N6" s="57">
        <v>1</v>
      </c>
      <c r="O6" s="19"/>
    </row>
    <row r="7" spans="1:15" s="7" customFormat="1">
      <c r="A7" s="12" t="s">
        <v>25</v>
      </c>
      <c r="B7" s="12" t="s">
        <v>28</v>
      </c>
      <c r="C7" s="12" t="s">
        <v>29</v>
      </c>
      <c r="D7" s="12" t="s">
        <v>27</v>
      </c>
      <c r="E7" s="364" t="s">
        <v>13</v>
      </c>
      <c r="F7" s="365"/>
      <c r="G7" s="366"/>
      <c r="H7" s="29"/>
      <c r="I7" s="12" t="s">
        <v>25</v>
      </c>
      <c r="J7" s="12" t="s">
        <v>28</v>
      </c>
      <c r="K7" s="12" t="s">
        <v>29</v>
      </c>
      <c r="L7" s="12" t="s">
        <v>27</v>
      </c>
      <c r="M7" s="364" t="s">
        <v>13</v>
      </c>
      <c r="N7" s="365"/>
      <c r="O7" s="366"/>
    </row>
    <row r="8" spans="1:15">
      <c r="A8" s="20">
        <v>1</v>
      </c>
      <c r="B8" s="2"/>
      <c r="C8" s="2"/>
      <c r="D8" s="2"/>
      <c r="E8" s="344"/>
      <c r="F8" s="344"/>
      <c r="G8" s="345"/>
      <c r="H8" s="29"/>
      <c r="I8" s="20">
        <v>1</v>
      </c>
      <c r="J8" s="2"/>
      <c r="K8" s="2"/>
      <c r="L8" s="2"/>
      <c r="M8" s="344"/>
      <c r="N8" s="344"/>
      <c r="O8" s="345"/>
    </row>
    <row r="9" spans="1:15">
      <c r="A9" s="21">
        <v>1</v>
      </c>
      <c r="B9" s="2"/>
      <c r="C9" s="2"/>
      <c r="D9" s="2"/>
      <c r="E9" s="346"/>
      <c r="F9" s="346"/>
      <c r="G9" s="347"/>
      <c r="H9" s="29"/>
      <c r="I9" s="21">
        <v>1</v>
      </c>
      <c r="J9" s="2"/>
      <c r="K9" s="2"/>
      <c r="L9" s="2"/>
      <c r="M9" s="346"/>
      <c r="N9" s="346"/>
      <c r="O9" s="347"/>
    </row>
    <row r="10" spans="1:15">
      <c r="A10" s="21">
        <v>1</v>
      </c>
      <c r="B10" s="2"/>
      <c r="C10" s="2"/>
      <c r="D10" s="2"/>
      <c r="E10" s="346"/>
      <c r="F10" s="346"/>
      <c r="G10" s="347"/>
      <c r="H10" s="29"/>
      <c r="I10" s="21">
        <v>1</v>
      </c>
      <c r="J10" s="2"/>
      <c r="K10" s="2"/>
      <c r="L10" s="2"/>
      <c r="M10" s="346"/>
      <c r="N10" s="346"/>
      <c r="O10" s="347"/>
    </row>
    <row r="11" spans="1:15">
      <c r="A11" s="21">
        <v>1</v>
      </c>
      <c r="B11" s="2"/>
      <c r="C11" s="2"/>
      <c r="D11" s="2"/>
      <c r="E11" s="346"/>
      <c r="F11" s="346"/>
      <c r="G11" s="347"/>
      <c r="H11" s="29"/>
      <c r="I11" s="21">
        <v>1</v>
      </c>
      <c r="J11" s="2"/>
      <c r="K11" s="2"/>
      <c r="L11" s="2"/>
      <c r="M11" s="346"/>
      <c r="N11" s="346"/>
      <c r="O11" s="347"/>
    </row>
    <row r="12" spans="1:15">
      <c r="A12" s="21">
        <v>1</v>
      </c>
      <c r="B12" s="2"/>
      <c r="C12" s="2"/>
      <c r="D12" s="2"/>
      <c r="E12" s="346"/>
      <c r="F12" s="346"/>
      <c r="G12" s="347"/>
      <c r="H12" s="29"/>
      <c r="I12" s="21">
        <v>1</v>
      </c>
      <c r="J12" s="2"/>
      <c r="K12" s="2"/>
      <c r="L12" s="2"/>
      <c r="M12" s="346"/>
      <c r="N12" s="346"/>
      <c r="O12" s="347"/>
    </row>
    <row r="13" spans="1:15">
      <c r="A13" s="21">
        <v>1</v>
      </c>
      <c r="B13" s="2"/>
      <c r="C13" s="2"/>
      <c r="D13" s="2"/>
      <c r="E13" s="346"/>
      <c r="F13" s="346"/>
      <c r="G13" s="347"/>
      <c r="H13" s="29"/>
      <c r="I13" s="21">
        <v>1</v>
      </c>
      <c r="J13" s="2"/>
      <c r="K13" s="2"/>
      <c r="L13" s="2"/>
      <c r="M13" s="346"/>
      <c r="N13" s="346"/>
      <c r="O13" s="347"/>
    </row>
    <row r="14" spans="1:15">
      <c r="A14" s="21">
        <v>2</v>
      </c>
      <c r="B14" s="2"/>
      <c r="C14" s="2"/>
      <c r="D14" s="2"/>
      <c r="E14" s="346"/>
      <c r="F14" s="346"/>
      <c r="G14" s="347"/>
      <c r="H14" s="29"/>
      <c r="I14" s="21">
        <v>2</v>
      </c>
      <c r="J14" s="2"/>
      <c r="K14" s="2"/>
      <c r="L14" s="2"/>
      <c r="M14" s="346"/>
      <c r="N14" s="346"/>
      <c r="O14" s="347"/>
    </row>
    <row r="15" spans="1:15">
      <c r="A15" s="21">
        <v>2</v>
      </c>
      <c r="B15" s="2"/>
      <c r="C15" s="2"/>
      <c r="D15" s="2"/>
      <c r="E15" s="346"/>
      <c r="F15" s="346"/>
      <c r="G15" s="347"/>
      <c r="H15" s="29"/>
      <c r="I15" s="21">
        <v>2</v>
      </c>
      <c r="J15" s="2"/>
      <c r="K15" s="2"/>
      <c r="L15" s="2"/>
      <c r="M15" s="346"/>
      <c r="N15" s="346"/>
      <c r="O15" s="347"/>
    </row>
    <row r="16" spans="1:15">
      <c r="A16" s="21">
        <v>2</v>
      </c>
      <c r="B16" s="2"/>
      <c r="C16" s="2"/>
      <c r="D16" s="2"/>
      <c r="E16" s="346"/>
      <c r="F16" s="346"/>
      <c r="G16" s="347"/>
      <c r="H16" s="29"/>
      <c r="I16" s="21">
        <v>2</v>
      </c>
      <c r="J16" s="2"/>
      <c r="K16" s="2"/>
      <c r="L16" s="2"/>
      <c r="M16" s="346"/>
      <c r="N16" s="346"/>
      <c r="O16" s="347"/>
    </row>
    <row r="17" spans="1:15">
      <c r="A17" s="22">
        <v>2</v>
      </c>
      <c r="B17" s="8"/>
      <c r="C17" s="8"/>
      <c r="D17" s="8"/>
      <c r="E17" s="348"/>
      <c r="F17" s="348"/>
      <c r="G17" s="349"/>
      <c r="H17" s="29"/>
      <c r="I17" s="22">
        <v>2</v>
      </c>
      <c r="J17" s="8"/>
      <c r="K17" s="8"/>
      <c r="L17" s="8"/>
      <c r="M17" s="348"/>
      <c r="N17" s="348"/>
      <c r="O17" s="349"/>
    </row>
    <row r="18" spans="1:15">
      <c r="A18" s="33"/>
      <c r="B18" s="31"/>
      <c r="C18" s="31"/>
      <c r="D18" s="31"/>
      <c r="E18" s="31"/>
      <c r="F18" s="31"/>
      <c r="G18" s="31"/>
      <c r="H18" s="29"/>
      <c r="I18" s="31"/>
      <c r="J18" s="31"/>
      <c r="K18" s="31"/>
      <c r="L18" s="31"/>
      <c r="M18" s="31"/>
      <c r="N18" s="31"/>
      <c r="O18" s="36"/>
    </row>
    <row r="19" spans="1:15">
      <c r="A19" s="14" t="s">
        <v>23</v>
      </c>
      <c r="B19" s="12" t="s">
        <v>28</v>
      </c>
      <c r="C19" s="12" t="s">
        <v>29</v>
      </c>
      <c r="D19" s="16" t="s">
        <v>34</v>
      </c>
      <c r="E19" s="54" t="s">
        <v>17</v>
      </c>
      <c r="F19" s="53" t="s">
        <v>30</v>
      </c>
      <c r="G19" s="50"/>
      <c r="H19" s="29"/>
      <c r="I19" s="28" t="s">
        <v>21</v>
      </c>
      <c r="J19" s="12" t="s">
        <v>28</v>
      </c>
      <c r="K19" s="12" t="s">
        <v>29</v>
      </c>
      <c r="L19" s="16" t="s">
        <v>34</v>
      </c>
      <c r="M19" s="54" t="s">
        <v>17</v>
      </c>
      <c r="N19" s="53" t="s">
        <v>30</v>
      </c>
      <c r="O19" s="50"/>
    </row>
    <row r="20" spans="1:15">
      <c r="A20" s="13"/>
      <c r="B20" s="12"/>
      <c r="C20" s="12"/>
      <c r="D20" s="16"/>
      <c r="E20" s="55"/>
      <c r="F20" s="52"/>
      <c r="G20" s="51"/>
      <c r="H20" s="29"/>
      <c r="I20" s="13"/>
      <c r="J20" s="12"/>
      <c r="K20" s="12"/>
      <c r="L20" s="16"/>
      <c r="M20" s="55"/>
      <c r="N20" s="52"/>
      <c r="O20" s="51"/>
    </row>
    <row r="21" spans="1:15">
      <c r="A21" s="12" t="s">
        <v>18</v>
      </c>
      <c r="B21" s="12">
        <v>1</v>
      </c>
      <c r="C21" s="12">
        <v>1</v>
      </c>
      <c r="D21" s="16">
        <v>1</v>
      </c>
      <c r="E21" s="56">
        <v>1</v>
      </c>
      <c r="F21" s="57">
        <v>1</v>
      </c>
      <c r="G21" s="19"/>
      <c r="H21" s="29"/>
      <c r="I21" s="12" t="s">
        <v>18</v>
      </c>
      <c r="J21" s="12">
        <v>1</v>
      </c>
      <c r="K21" s="12">
        <v>1</v>
      </c>
      <c r="L21" s="16">
        <v>1</v>
      </c>
      <c r="M21" s="56">
        <v>1</v>
      </c>
      <c r="N21" s="57">
        <v>1</v>
      </c>
      <c r="O21" s="19"/>
    </row>
    <row r="22" spans="1:15">
      <c r="A22" s="12" t="s">
        <v>25</v>
      </c>
      <c r="B22" s="12" t="s">
        <v>28</v>
      </c>
      <c r="C22" s="12" t="s">
        <v>29</v>
      </c>
      <c r="D22" s="12" t="s">
        <v>27</v>
      </c>
      <c r="E22" s="364" t="s">
        <v>13</v>
      </c>
      <c r="F22" s="365"/>
      <c r="G22" s="366"/>
      <c r="H22" s="29"/>
      <c r="I22" s="12" t="s">
        <v>25</v>
      </c>
      <c r="J22" s="12" t="s">
        <v>28</v>
      </c>
      <c r="K22" s="12" t="s">
        <v>29</v>
      </c>
      <c r="L22" s="12" t="s">
        <v>27</v>
      </c>
      <c r="M22" s="364" t="s">
        <v>13</v>
      </c>
      <c r="N22" s="365"/>
      <c r="O22" s="366"/>
    </row>
    <row r="23" spans="1:15">
      <c r="A23" s="20">
        <v>1</v>
      </c>
      <c r="B23" s="2"/>
      <c r="C23" s="2"/>
      <c r="D23" s="2"/>
      <c r="E23" s="344"/>
      <c r="F23" s="344"/>
      <c r="G23" s="345"/>
      <c r="H23" s="29"/>
      <c r="I23" s="20">
        <v>1</v>
      </c>
      <c r="J23" s="2"/>
      <c r="K23" s="2"/>
      <c r="L23" s="2"/>
      <c r="M23" s="344"/>
      <c r="N23" s="344"/>
      <c r="O23" s="345"/>
    </row>
    <row r="24" spans="1:15">
      <c r="A24" s="21">
        <v>1</v>
      </c>
      <c r="B24" s="2"/>
      <c r="C24" s="2"/>
      <c r="D24" s="2"/>
      <c r="E24" s="346"/>
      <c r="F24" s="346"/>
      <c r="G24" s="347"/>
      <c r="H24" s="29"/>
      <c r="I24" s="21">
        <v>1</v>
      </c>
      <c r="J24" s="2"/>
      <c r="K24" s="2"/>
      <c r="L24" s="2"/>
      <c r="M24" s="346"/>
      <c r="N24" s="346"/>
      <c r="O24" s="347"/>
    </row>
    <row r="25" spans="1:15">
      <c r="A25" s="21">
        <v>1</v>
      </c>
      <c r="B25" s="2"/>
      <c r="C25" s="2"/>
      <c r="D25" s="2"/>
      <c r="E25" s="346"/>
      <c r="F25" s="346"/>
      <c r="G25" s="347"/>
      <c r="H25" s="29"/>
      <c r="I25" s="21">
        <v>1</v>
      </c>
      <c r="J25" s="2"/>
      <c r="K25" s="2"/>
      <c r="L25" s="2"/>
      <c r="M25" s="346"/>
      <c r="N25" s="346"/>
      <c r="O25" s="347"/>
    </row>
    <row r="26" spans="1:15">
      <c r="A26" s="21">
        <v>1</v>
      </c>
      <c r="B26" s="2"/>
      <c r="C26" s="2"/>
      <c r="D26" s="2"/>
      <c r="E26" s="346"/>
      <c r="F26" s="346"/>
      <c r="G26" s="347"/>
      <c r="H26" s="29"/>
      <c r="I26" s="21">
        <v>1</v>
      </c>
      <c r="J26" s="2"/>
      <c r="K26" s="2"/>
      <c r="L26" s="2"/>
      <c r="M26" s="346"/>
      <c r="N26" s="346"/>
      <c r="O26" s="347"/>
    </row>
    <row r="27" spans="1:15">
      <c r="A27" s="21">
        <v>1</v>
      </c>
      <c r="B27" s="2"/>
      <c r="C27" s="2"/>
      <c r="D27" s="2"/>
      <c r="E27" s="346"/>
      <c r="F27" s="346"/>
      <c r="G27" s="347"/>
      <c r="H27" s="29"/>
      <c r="I27" s="21">
        <v>1</v>
      </c>
      <c r="J27" s="2"/>
      <c r="K27" s="2"/>
      <c r="L27" s="2"/>
      <c r="M27" s="346"/>
      <c r="N27" s="346"/>
      <c r="O27" s="347"/>
    </row>
    <row r="28" spans="1:15">
      <c r="A28" s="21">
        <v>1</v>
      </c>
      <c r="B28" s="2"/>
      <c r="C28" s="2"/>
      <c r="D28" s="2"/>
      <c r="E28" s="346"/>
      <c r="F28" s="346"/>
      <c r="G28" s="347"/>
      <c r="H28" s="29"/>
      <c r="I28" s="21">
        <v>1</v>
      </c>
      <c r="J28" s="2"/>
      <c r="K28" s="2"/>
      <c r="L28" s="2"/>
      <c r="M28" s="346"/>
      <c r="N28" s="346"/>
      <c r="O28" s="347"/>
    </row>
    <row r="29" spans="1:15">
      <c r="A29" s="21">
        <v>2</v>
      </c>
      <c r="B29" s="2"/>
      <c r="C29" s="2"/>
      <c r="D29" s="2"/>
      <c r="E29" s="346"/>
      <c r="F29" s="346"/>
      <c r="G29" s="347"/>
      <c r="H29" s="29"/>
      <c r="I29" s="21">
        <v>2</v>
      </c>
      <c r="J29" s="2"/>
      <c r="K29" s="2"/>
      <c r="L29" s="2"/>
      <c r="M29" s="346"/>
      <c r="N29" s="346"/>
      <c r="O29" s="347"/>
    </row>
    <row r="30" spans="1:15">
      <c r="A30" s="21">
        <v>2</v>
      </c>
      <c r="B30" s="2"/>
      <c r="C30" s="2"/>
      <c r="D30" s="2"/>
      <c r="E30" s="346"/>
      <c r="F30" s="346"/>
      <c r="G30" s="347"/>
      <c r="H30" s="29"/>
      <c r="I30" s="21">
        <v>2</v>
      </c>
      <c r="J30" s="2"/>
      <c r="K30" s="2"/>
      <c r="L30" s="2"/>
      <c r="M30" s="346"/>
      <c r="N30" s="346"/>
      <c r="O30" s="347"/>
    </row>
    <row r="31" spans="1:15">
      <c r="A31" s="21">
        <v>2</v>
      </c>
      <c r="B31" s="2"/>
      <c r="C31" s="2"/>
      <c r="D31" s="2"/>
      <c r="E31" s="346"/>
      <c r="F31" s="346"/>
      <c r="G31" s="347"/>
      <c r="H31" s="29"/>
      <c r="I31" s="21">
        <v>2</v>
      </c>
      <c r="J31" s="2"/>
      <c r="K31" s="2"/>
      <c r="L31" s="2"/>
      <c r="M31" s="346"/>
      <c r="N31" s="346"/>
      <c r="O31" s="347"/>
    </row>
    <row r="32" spans="1:15">
      <c r="A32" s="22">
        <v>2</v>
      </c>
      <c r="B32" s="8"/>
      <c r="C32" s="8"/>
      <c r="D32" s="8"/>
      <c r="E32" s="348"/>
      <c r="F32" s="348"/>
      <c r="G32" s="349"/>
      <c r="H32" s="29"/>
      <c r="I32" s="22">
        <v>2</v>
      </c>
      <c r="J32" s="8"/>
      <c r="K32" s="8"/>
      <c r="L32" s="8"/>
      <c r="M32" s="348"/>
      <c r="N32" s="348"/>
      <c r="O32" s="349"/>
    </row>
    <row r="33" spans="1:15">
      <c r="A33" s="33"/>
      <c r="B33" s="31"/>
      <c r="C33" s="31"/>
      <c r="D33" s="31"/>
      <c r="E33" s="31"/>
      <c r="F33" s="31"/>
      <c r="G33" s="31"/>
      <c r="H33" s="29"/>
      <c r="I33" s="31"/>
      <c r="J33" s="31"/>
      <c r="K33" s="31"/>
      <c r="L33" s="31"/>
      <c r="M33" s="31"/>
      <c r="N33" s="31"/>
      <c r="O33" s="36"/>
    </row>
    <row r="34" spans="1:15">
      <c r="A34" s="14" t="s">
        <v>24</v>
      </c>
      <c r="B34" s="12" t="s">
        <v>28</v>
      </c>
      <c r="C34" s="12" t="s">
        <v>29</v>
      </c>
      <c r="D34" s="16" t="s">
        <v>34</v>
      </c>
      <c r="E34" s="54" t="s">
        <v>17</v>
      </c>
      <c r="F34" s="53" t="s">
        <v>30</v>
      </c>
      <c r="G34" s="50"/>
      <c r="H34" s="29"/>
      <c r="I34" s="28" t="s">
        <v>22</v>
      </c>
      <c r="J34" s="12" t="s">
        <v>28</v>
      </c>
      <c r="K34" s="12" t="s">
        <v>29</v>
      </c>
      <c r="L34" s="16" t="s">
        <v>34</v>
      </c>
      <c r="M34" s="54" t="s">
        <v>17</v>
      </c>
      <c r="N34" s="53" t="s">
        <v>30</v>
      </c>
      <c r="O34" s="50"/>
    </row>
    <row r="35" spans="1:15">
      <c r="A35" s="13"/>
      <c r="B35" s="12"/>
      <c r="C35" s="12"/>
      <c r="D35" s="16"/>
      <c r="E35" s="55"/>
      <c r="F35" s="52"/>
      <c r="G35" s="51"/>
      <c r="H35" s="29"/>
      <c r="I35" s="13"/>
      <c r="J35" s="12"/>
      <c r="K35" s="12"/>
      <c r="L35" s="16"/>
      <c r="M35" s="55"/>
      <c r="N35" s="52"/>
      <c r="O35" s="51"/>
    </row>
    <row r="36" spans="1:15">
      <c r="A36" s="12" t="s">
        <v>18</v>
      </c>
      <c r="B36" s="12">
        <v>1</v>
      </c>
      <c r="C36" s="12">
        <v>1</v>
      </c>
      <c r="D36" s="16">
        <v>1</v>
      </c>
      <c r="E36" s="56">
        <v>1</v>
      </c>
      <c r="F36" s="57">
        <v>1</v>
      </c>
      <c r="G36" s="19"/>
      <c r="H36" s="29"/>
      <c r="I36" s="12" t="s">
        <v>18</v>
      </c>
      <c r="J36" s="12">
        <v>1</v>
      </c>
      <c r="K36" s="12">
        <v>1</v>
      </c>
      <c r="L36" s="16">
        <v>1</v>
      </c>
      <c r="M36" s="56">
        <v>1</v>
      </c>
      <c r="N36" s="57">
        <v>1</v>
      </c>
      <c r="O36" s="19"/>
    </row>
    <row r="37" spans="1:15">
      <c r="A37" s="12" t="s">
        <v>25</v>
      </c>
      <c r="B37" s="12" t="s">
        <v>28</v>
      </c>
      <c r="C37" s="12" t="s">
        <v>29</v>
      </c>
      <c r="D37" s="12" t="s">
        <v>27</v>
      </c>
      <c r="E37" s="364" t="s">
        <v>13</v>
      </c>
      <c r="F37" s="365"/>
      <c r="G37" s="366"/>
      <c r="H37" s="29"/>
      <c r="I37" s="12" t="s">
        <v>25</v>
      </c>
      <c r="J37" s="12" t="s">
        <v>28</v>
      </c>
      <c r="K37" s="12" t="s">
        <v>29</v>
      </c>
      <c r="L37" s="12" t="s">
        <v>27</v>
      </c>
      <c r="M37" s="364" t="s">
        <v>13</v>
      </c>
      <c r="N37" s="365"/>
      <c r="O37" s="366"/>
    </row>
    <row r="38" spans="1:15">
      <c r="A38" s="20">
        <v>1</v>
      </c>
      <c r="B38" s="2"/>
      <c r="C38" s="2"/>
      <c r="D38" s="2"/>
      <c r="E38" s="344"/>
      <c r="F38" s="344"/>
      <c r="G38" s="345"/>
      <c r="H38" s="29"/>
      <c r="I38" s="20">
        <v>1</v>
      </c>
      <c r="J38" s="2"/>
      <c r="K38" s="2"/>
      <c r="L38" s="2"/>
      <c r="M38" s="344"/>
      <c r="N38" s="344"/>
      <c r="O38" s="345"/>
    </row>
    <row r="39" spans="1:15">
      <c r="A39" s="21">
        <v>1</v>
      </c>
      <c r="B39" s="2"/>
      <c r="C39" s="2"/>
      <c r="D39" s="2"/>
      <c r="E39" s="346"/>
      <c r="F39" s="346"/>
      <c r="G39" s="347"/>
      <c r="H39" s="29"/>
      <c r="I39" s="21">
        <v>1</v>
      </c>
      <c r="J39" s="2"/>
      <c r="K39" s="2"/>
      <c r="L39" s="2"/>
      <c r="M39" s="346"/>
      <c r="N39" s="346"/>
      <c r="O39" s="347"/>
    </row>
    <row r="40" spans="1:15">
      <c r="A40" s="21">
        <v>1</v>
      </c>
      <c r="B40" s="2"/>
      <c r="C40" s="2"/>
      <c r="D40" s="2"/>
      <c r="E40" s="346"/>
      <c r="F40" s="346"/>
      <c r="G40" s="347"/>
      <c r="H40" s="29"/>
      <c r="I40" s="21">
        <v>1</v>
      </c>
      <c r="J40" s="2"/>
      <c r="K40" s="2"/>
      <c r="L40" s="2"/>
      <c r="M40" s="346"/>
      <c r="N40" s="346"/>
      <c r="O40" s="347"/>
    </row>
    <row r="41" spans="1:15">
      <c r="A41" s="21">
        <v>1</v>
      </c>
      <c r="B41" s="2"/>
      <c r="C41" s="2"/>
      <c r="D41" s="2"/>
      <c r="E41" s="346"/>
      <c r="F41" s="346"/>
      <c r="G41" s="347"/>
      <c r="H41" s="29"/>
      <c r="I41" s="21">
        <v>1</v>
      </c>
      <c r="J41" s="2"/>
      <c r="K41" s="2"/>
      <c r="L41" s="2"/>
      <c r="M41" s="346"/>
      <c r="N41" s="346"/>
      <c r="O41" s="347"/>
    </row>
    <row r="42" spans="1:15">
      <c r="A42" s="21">
        <v>1</v>
      </c>
      <c r="B42" s="2"/>
      <c r="C42" s="2"/>
      <c r="D42" s="2"/>
      <c r="E42" s="346"/>
      <c r="F42" s="346"/>
      <c r="G42" s="347"/>
      <c r="H42" s="29"/>
      <c r="I42" s="21">
        <v>1</v>
      </c>
      <c r="J42" s="2"/>
      <c r="K42" s="2"/>
      <c r="L42" s="2"/>
      <c r="M42" s="346"/>
      <c r="N42" s="346"/>
      <c r="O42" s="347"/>
    </row>
    <row r="43" spans="1:15">
      <c r="A43" s="21">
        <v>1</v>
      </c>
      <c r="B43" s="2"/>
      <c r="C43" s="2"/>
      <c r="D43" s="2"/>
      <c r="E43" s="346"/>
      <c r="F43" s="346"/>
      <c r="G43" s="347"/>
      <c r="H43" s="29"/>
      <c r="I43" s="21">
        <v>1</v>
      </c>
      <c r="J43" s="2"/>
      <c r="K43" s="2"/>
      <c r="L43" s="2"/>
      <c r="M43" s="346"/>
      <c r="N43" s="346"/>
      <c r="O43" s="347"/>
    </row>
    <row r="44" spans="1:15">
      <c r="A44" s="21">
        <v>2</v>
      </c>
      <c r="B44" s="2"/>
      <c r="C44" s="2"/>
      <c r="D44" s="2"/>
      <c r="E44" s="346"/>
      <c r="F44" s="346"/>
      <c r="G44" s="347"/>
      <c r="H44" s="29"/>
      <c r="I44" s="21">
        <v>2</v>
      </c>
      <c r="J44" s="2"/>
      <c r="K44" s="2"/>
      <c r="L44" s="2"/>
      <c r="M44" s="346"/>
      <c r="N44" s="346"/>
      <c r="O44" s="347"/>
    </row>
    <row r="45" spans="1:15">
      <c r="A45" s="21">
        <v>2</v>
      </c>
      <c r="B45" s="2"/>
      <c r="C45" s="2"/>
      <c r="D45" s="2"/>
      <c r="E45" s="346"/>
      <c r="F45" s="346"/>
      <c r="G45" s="347"/>
      <c r="H45" s="29"/>
      <c r="I45" s="21">
        <v>2</v>
      </c>
      <c r="J45" s="2"/>
      <c r="K45" s="2"/>
      <c r="L45" s="2"/>
      <c r="M45" s="346"/>
      <c r="N45" s="346"/>
      <c r="O45" s="347"/>
    </row>
    <row r="46" spans="1:15">
      <c r="A46" s="21">
        <v>2</v>
      </c>
      <c r="B46" s="2"/>
      <c r="C46" s="2"/>
      <c r="D46" s="2"/>
      <c r="E46" s="346"/>
      <c r="F46" s="346"/>
      <c r="G46" s="347"/>
      <c r="H46" s="29"/>
      <c r="I46" s="21">
        <v>2</v>
      </c>
      <c r="J46" s="2"/>
      <c r="K46" s="2"/>
      <c r="L46" s="2"/>
      <c r="M46" s="346"/>
      <c r="N46" s="346"/>
      <c r="O46" s="347"/>
    </row>
    <row r="47" spans="1:15">
      <c r="A47" s="22">
        <v>2</v>
      </c>
      <c r="B47" s="8"/>
      <c r="C47" s="8"/>
      <c r="D47" s="8"/>
      <c r="E47" s="348"/>
      <c r="F47" s="348"/>
      <c r="G47" s="349"/>
      <c r="H47" s="37"/>
      <c r="I47" s="22">
        <v>2</v>
      </c>
      <c r="J47" s="8"/>
      <c r="K47" s="8"/>
      <c r="L47" s="8"/>
      <c r="M47" s="348"/>
      <c r="N47" s="348"/>
      <c r="O47" s="349"/>
    </row>
  </sheetData>
  <mergeCells count="69">
    <mergeCell ref="M7:O7"/>
    <mergeCell ref="A1:B1"/>
    <mergeCell ref="M43:O43"/>
    <mergeCell ref="M44:O44"/>
    <mergeCell ref="M45:O45"/>
    <mergeCell ref="M28:O28"/>
    <mergeCell ref="M29:O29"/>
    <mergeCell ref="M30:O30"/>
    <mergeCell ref="M31:O31"/>
    <mergeCell ref="M15:O15"/>
    <mergeCell ref="M16:O16"/>
    <mergeCell ref="M17:O17"/>
    <mergeCell ref="M23:O23"/>
    <mergeCell ref="M24:O24"/>
    <mergeCell ref="M25:O25"/>
    <mergeCell ref="M22:O22"/>
    <mergeCell ref="M46:O46"/>
    <mergeCell ref="M47:O47"/>
    <mergeCell ref="A2:G3"/>
    <mergeCell ref="I2:O3"/>
    <mergeCell ref="E7:G7"/>
    <mergeCell ref="E22:G22"/>
    <mergeCell ref="E37:G37"/>
    <mergeCell ref="M32:O32"/>
    <mergeCell ref="M38:O38"/>
    <mergeCell ref="M39:O39"/>
    <mergeCell ref="M40:O40"/>
    <mergeCell ref="M41:O41"/>
    <mergeCell ref="M42:O42"/>
    <mergeCell ref="M37:O37"/>
    <mergeCell ref="M26:O26"/>
    <mergeCell ref="M27:O27"/>
    <mergeCell ref="E46:G46"/>
    <mergeCell ref="E47:G47"/>
    <mergeCell ref="M8:O8"/>
    <mergeCell ref="M9:O9"/>
    <mergeCell ref="M10:O10"/>
    <mergeCell ref="M11:O11"/>
    <mergeCell ref="M12:O12"/>
    <mergeCell ref="M13:O13"/>
    <mergeCell ref="M14:O14"/>
    <mergeCell ref="E40:G40"/>
    <mergeCell ref="E41:G41"/>
    <mergeCell ref="E42:G42"/>
    <mergeCell ref="E43:G43"/>
    <mergeCell ref="E44:G44"/>
    <mergeCell ref="E45:G45"/>
    <mergeCell ref="E29:G29"/>
    <mergeCell ref="E30:G30"/>
    <mergeCell ref="E31:G31"/>
    <mergeCell ref="E32:G32"/>
    <mergeCell ref="E38:G38"/>
    <mergeCell ref="E39:G39"/>
    <mergeCell ref="E28:G28"/>
    <mergeCell ref="E13:G13"/>
    <mergeCell ref="E14:G14"/>
    <mergeCell ref="E15:G15"/>
    <mergeCell ref="E16:G16"/>
    <mergeCell ref="E17:G17"/>
    <mergeCell ref="E23:G23"/>
    <mergeCell ref="E24:G24"/>
    <mergeCell ref="E25:G25"/>
    <mergeCell ref="E26:G26"/>
    <mergeCell ref="E27:G27"/>
    <mergeCell ref="E8:G8"/>
    <mergeCell ref="E9:G9"/>
    <mergeCell ref="E10:G10"/>
    <mergeCell ref="E11:G11"/>
    <mergeCell ref="E12:G12"/>
  </mergeCells>
  <pageMargins left="0.7" right="0.7" top="0.75" bottom="0.75" header="0.3" footer="0.3"/>
  <pageSetup scale="73" orientation="landscape" r:id="rId1"/>
  <legacyDrawing r:id="rId2"/>
</worksheet>
</file>

<file path=xl/worksheets/sheet14.xml><?xml version="1.0" encoding="utf-8"?>
<worksheet xmlns="http://schemas.openxmlformats.org/spreadsheetml/2006/main" xmlns:r="http://schemas.openxmlformats.org/officeDocument/2006/relationships">
  <sheetPr codeName="Sheet1">
    <tabColor rgb="FF00B050"/>
  </sheetPr>
  <dimension ref="A1:L46"/>
  <sheetViews>
    <sheetView zoomScaleNormal="100" workbookViewId="0">
      <selection activeCell="H29" sqref="H29"/>
    </sheetView>
  </sheetViews>
  <sheetFormatPr defaultRowHeight="15"/>
  <cols>
    <col min="1" max="1" width="15.42578125" bestFit="1" customWidth="1"/>
    <col min="5" max="5" width="1.7109375" customWidth="1"/>
    <col min="9" max="9" width="1.7109375" customWidth="1"/>
  </cols>
  <sheetData>
    <row r="1" spans="1:12" ht="15.75" thickBot="1">
      <c r="A1" s="177" t="s">
        <v>92</v>
      </c>
      <c r="B1" s="178"/>
      <c r="C1" s="178"/>
      <c r="D1" s="179"/>
      <c r="E1" s="180"/>
      <c r="F1" s="181"/>
      <c r="G1" s="181"/>
      <c r="H1" s="181"/>
      <c r="I1" s="182"/>
      <c r="J1" s="183" t="s">
        <v>26</v>
      </c>
      <c r="K1" s="184"/>
      <c r="L1" s="185"/>
    </row>
    <row r="2" spans="1:12">
      <c r="A2" s="186" t="s">
        <v>93</v>
      </c>
      <c r="B2" s="12"/>
      <c r="C2" s="12"/>
      <c r="D2" s="187"/>
      <c r="E2" s="180"/>
      <c r="F2" s="188"/>
      <c r="G2" s="188"/>
      <c r="H2" s="188"/>
      <c r="I2" s="182"/>
      <c r="J2" s="189"/>
      <c r="K2" s="189"/>
      <c r="L2" s="189"/>
    </row>
    <row r="3" spans="1:12">
      <c r="A3" s="186" t="s">
        <v>94</v>
      </c>
      <c r="B3" s="12"/>
      <c r="C3" s="12"/>
      <c r="D3" s="187"/>
      <c r="E3" s="180"/>
      <c r="F3" s="188"/>
      <c r="G3" s="188"/>
      <c r="H3" s="188"/>
      <c r="I3" s="182"/>
      <c r="J3" s="188"/>
      <c r="K3" s="188"/>
      <c r="L3" s="188"/>
    </row>
    <row r="4" spans="1:12">
      <c r="A4" s="190" t="s">
        <v>95</v>
      </c>
      <c r="B4" s="12"/>
      <c r="C4" s="12"/>
      <c r="D4" s="187"/>
      <c r="E4" s="180"/>
      <c r="F4" s="188"/>
      <c r="G4" s="188"/>
      <c r="H4" s="188"/>
      <c r="I4" s="182"/>
      <c r="J4" s="188"/>
      <c r="K4" s="188"/>
      <c r="L4" s="188"/>
    </row>
    <row r="5" spans="1:12">
      <c r="A5" s="191" t="s">
        <v>96</v>
      </c>
      <c r="B5" s="192"/>
      <c r="C5" s="192"/>
      <c r="D5" s="193"/>
      <c r="E5" s="180"/>
      <c r="F5" s="188"/>
      <c r="G5" s="188"/>
      <c r="H5" s="188"/>
      <c r="I5" s="182"/>
      <c r="J5" s="188"/>
      <c r="K5" s="188"/>
      <c r="L5" s="188"/>
    </row>
    <row r="6" spans="1:12">
      <c r="A6" s="186" t="s">
        <v>97</v>
      </c>
      <c r="B6" s="12"/>
      <c r="C6" s="12"/>
      <c r="D6" s="187"/>
      <c r="E6" s="180"/>
      <c r="F6" s="188"/>
      <c r="G6" s="188"/>
      <c r="H6" s="188"/>
      <c r="I6" s="182"/>
      <c r="J6" s="188"/>
      <c r="K6" s="188"/>
      <c r="L6" s="188"/>
    </row>
    <row r="7" spans="1:12">
      <c r="A7" s="194" t="s">
        <v>98</v>
      </c>
      <c r="B7" s="20"/>
      <c r="C7" s="20"/>
      <c r="D7" s="195"/>
      <c r="E7" s="180"/>
      <c r="F7" s="188"/>
      <c r="G7" s="188"/>
      <c r="H7" s="188"/>
      <c r="I7" s="182"/>
      <c r="J7" s="188"/>
      <c r="K7" s="188"/>
      <c r="L7" s="188"/>
    </row>
    <row r="8" spans="1:12" ht="15.75" thickBot="1">
      <c r="A8" s="196" t="s">
        <v>99</v>
      </c>
      <c r="B8" s="197"/>
      <c r="C8" s="197"/>
      <c r="D8" s="198"/>
      <c r="E8" s="180"/>
      <c r="F8" s="188"/>
      <c r="G8" s="188"/>
      <c r="H8" s="188"/>
      <c r="I8" s="182"/>
      <c r="J8" s="188"/>
      <c r="K8" s="188"/>
      <c r="L8" s="188"/>
    </row>
    <row r="9" spans="1:12">
      <c r="A9" s="21"/>
      <c r="B9" s="199"/>
      <c r="C9" s="199"/>
      <c r="D9" s="199"/>
      <c r="E9" s="180"/>
      <c r="F9" s="188"/>
      <c r="G9" s="188"/>
      <c r="H9" s="188"/>
      <c r="I9" s="182"/>
      <c r="J9" s="188"/>
      <c r="K9" s="188"/>
      <c r="L9" s="188"/>
    </row>
    <row r="10" spans="1:12">
      <c r="A10" s="200"/>
      <c r="B10" s="189"/>
      <c r="C10" s="189"/>
      <c r="D10" s="189"/>
      <c r="E10" s="180"/>
      <c r="F10" s="188"/>
      <c r="G10" s="188"/>
      <c r="H10" s="188"/>
      <c r="I10" s="182"/>
      <c r="J10" s="188"/>
      <c r="K10" s="188"/>
      <c r="L10" s="188"/>
    </row>
    <row r="11" spans="1:12">
      <c r="A11" s="201"/>
      <c r="B11" s="188"/>
      <c r="C11" s="188"/>
      <c r="D11" s="188"/>
      <c r="E11" s="180"/>
      <c r="F11" s="188"/>
      <c r="G11" s="188"/>
      <c r="H11" s="188"/>
      <c r="I11" s="182"/>
      <c r="J11" s="188"/>
      <c r="K11" s="188"/>
      <c r="L11" s="188"/>
    </row>
    <row r="12" spans="1:12">
      <c r="A12" s="202"/>
      <c r="B12" s="188"/>
      <c r="C12" s="188"/>
      <c r="D12" s="188"/>
      <c r="E12" s="180"/>
      <c r="F12" s="188"/>
      <c r="G12" s="188"/>
      <c r="H12" s="188"/>
      <c r="I12" s="182"/>
      <c r="J12" s="188"/>
      <c r="K12" s="188"/>
      <c r="L12" s="188"/>
    </row>
    <row r="13" spans="1:12">
      <c r="A13" s="201"/>
      <c r="B13" s="188"/>
      <c r="C13" s="188"/>
      <c r="D13" s="188"/>
      <c r="E13" s="180"/>
      <c r="F13" s="188"/>
      <c r="G13" s="188"/>
      <c r="H13" s="188"/>
      <c r="I13" s="182"/>
      <c r="J13" s="188"/>
      <c r="K13" s="188"/>
      <c r="L13" s="188"/>
    </row>
    <row r="14" spans="1:12">
      <c r="A14" s="201"/>
      <c r="B14" s="188"/>
      <c r="C14" s="188"/>
      <c r="D14" s="188"/>
      <c r="E14" s="180"/>
      <c r="F14" s="188"/>
      <c r="G14" s="188"/>
      <c r="H14" s="188"/>
      <c r="I14" s="182"/>
      <c r="J14" s="188"/>
      <c r="K14" s="188"/>
      <c r="L14" s="188"/>
    </row>
    <row r="15" spans="1:12">
      <c r="A15" s="201"/>
      <c r="B15" s="188"/>
      <c r="C15" s="188"/>
      <c r="D15" s="188"/>
      <c r="E15" s="180"/>
      <c r="F15" s="188"/>
      <c r="G15" s="188"/>
      <c r="H15" s="188"/>
      <c r="I15" s="182"/>
      <c r="J15" s="188"/>
      <c r="K15" s="188"/>
      <c r="L15" s="188"/>
    </row>
    <row r="16" spans="1:12">
      <c r="A16" s="201"/>
      <c r="B16" s="188"/>
      <c r="C16" s="188"/>
      <c r="D16" s="188"/>
      <c r="E16" s="180"/>
      <c r="F16" s="188"/>
      <c r="G16" s="188"/>
      <c r="H16" s="188"/>
      <c r="I16" s="182"/>
      <c r="J16" s="188"/>
      <c r="K16" s="188"/>
      <c r="L16" s="188"/>
    </row>
    <row r="17" spans="1:12">
      <c r="A17" s="201"/>
      <c r="B17" s="188"/>
      <c r="C17" s="188"/>
      <c r="D17" s="188"/>
      <c r="E17" s="180"/>
      <c r="F17" s="188"/>
      <c r="G17" s="188"/>
      <c r="H17" s="188"/>
      <c r="I17" s="182"/>
      <c r="J17" s="188"/>
      <c r="K17" s="188"/>
      <c r="L17" s="188"/>
    </row>
    <row r="18" spans="1:12">
      <c r="A18" s="201"/>
      <c r="B18" s="188"/>
      <c r="C18" s="188"/>
      <c r="D18" s="188"/>
      <c r="E18" s="180"/>
      <c r="F18" s="188"/>
      <c r="G18" s="188"/>
      <c r="H18" s="188"/>
      <c r="I18" s="182"/>
      <c r="J18" s="188"/>
      <c r="K18" s="188"/>
      <c r="L18" s="188"/>
    </row>
    <row r="19" spans="1:12">
      <c r="A19" s="201"/>
      <c r="B19" s="188"/>
      <c r="C19" s="188"/>
      <c r="D19" s="188"/>
      <c r="E19" s="180"/>
      <c r="F19" s="188"/>
      <c r="G19" s="188"/>
      <c r="H19" s="188"/>
      <c r="I19" s="182"/>
      <c r="J19" s="188"/>
      <c r="K19" s="188"/>
      <c r="L19" s="188"/>
    </row>
    <row r="20" spans="1:12">
      <c r="A20" s="201"/>
      <c r="B20" s="188"/>
      <c r="C20" s="188"/>
      <c r="D20" s="188"/>
      <c r="E20" s="180"/>
      <c r="F20" s="188"/>
      <c r="G20" s="188"/>
      <c r="H20" s="188"/>
      <c r="I20" s="182"/>
      <c r="J20" s="188"/>
      <c r="K20" s="188"/>
      <c r="L20" s="188"/>
    </row>
    <row r="21" spans="1:12">
      <c r="A21" s="21"/>
      <c r="B21" s="189"/>
      <c r="C21" s="189"/>
      <c r="D21" s="189"/>
      <c r="E21" s="180"/>
      <c r="F21" s="188"/>
      <c r="G21" s="188"/>
      <c r="H21" s="188"/>
      <c r="I21" s="182"/>
      <c r="J21" s="188"/>
      <c r="K21" s="188"/>
      <c r="L21" s="188"/>
    </row>
    <row r="22" spans="1:12">
      <c r="A22" s="21"/>
      <c r="B22" s="188"/>
      <c r="C22" s="188"/>
      <c r="D22" s="188"/>
      <c r="E22" s="180"/>
      <c r="F22" s="188"/>
      <c r="G22" s="188"/>
      <c r="H22" s="188"/>
      <c r="I22" s="182"/>
      <c r="J22" s="188"/>
      <c r="K22" s="188"/>
      <c r="L22" s="188"/>
    </row>
    <row r="23" spans="1:12">
      <c r="A23" s="21"/>
      <c r="B23" s="188"/>
      <c r="C23" s="188"/>
      <c r="D23" s="188"/>
      <c r="E23" s="180"/>
      <c r="F23" s="188"/>
      <c r="G23" s="188"/>
      <c r="H23" s="188"/>
      <c r="I23" s="182"/>
      <c r="J23" s="188"/>
      <c r="K23" s="188"/>
      <c r="L23" s="188"/>
    </row>
    <row r="24" spans="1:12">
      <c r="A24" s="21"/>
      <c r="B24" s="188"/>
      <c r="C24" s="188"/>
      <c r="D24" s="188"/>
      <c r="E24" s="180"/>
      <c r="F24" s="188"/>
      <c r="G24" s="188"/>
      <c r="H24" s="188"/>
      <c r="I24" s="182"/>
      <c r="J24" s="188"/>
      <c r="K24" s="188"/>
      <c r="L24" s="188"/>
    </row>
    <row r="25" spans="1:12">
      <c r="A25" s="21"/>
      <c r="B25" s="188"/>
      <c r="C25" s="188"/>
      <c r="D25" s="188"/>
      <c r="E25" s="180"/>
      <c r="F25" s="188"/>
      <c r="G25" s="188"/>
      <c r="H25" s="188"/>
      <c r="I25" s="182"/>
      <c r="J25" s="188"/>
      <c r="K25" s="188"/>
      <c r="L25" s="188"/>
    </row>
    <row r="26" spans="1:12">
      <c r="A26" s="21"/>
      <c r="B26" s="188"/>
      <c r="C26" s="188"/>
      <c r="D26" s="188"/>
      <c r="E26" s="180"/>
      <c r="F26" s="188"/>
      <c r="G26" s="188"/>
      <c r="H26" s="188"/>
      <c r="I26" s="182"/>
      <c r="J26" s="188"/>
      <c r="K26" s="188"/>
      <c r="L26" s="188"/>
    </row>
    <row r="27" spans="1:12">
      <c r="A27" s="21"/>
      <c r="B27" s="188"/>
      <c r="C27" s="188"/>
      <c r="D27" s="188"/>
      <c r="E27" s="180"/>
      <c r="F27" s="188"/>
      <c r="G27" s="188"/>
      <c r="H27" s="188"/>
      <c r="I27" s="182"/>
      <c r="J27" s="188"/>
      <c r="K27" s="188"/>
      <c r="L27" s="188"/>
    </row>
    <row r="28" spans="1:12">
      <c r="A28" s="21"/>
      <c r="B28" s="188"/>
      <c r="C28" s="188"/>
      <c r="D28" s="188"/>
      <c r="E28" s="180"/>
      <c r="F28" s="188"/>
      <c r="G28" s="188"/>
      <c r="H28" s="188"/>
      <c r="I28" s="182"/>
      <c r="J28" s="188"/>
      <c r="K28" s="188"/>
      <c r="L28" s="188"/>
    </row>
    <row r="29" spans="1:12">
      <c r="A29" s="21"/>
      <c r="B29" s="188"/>
      <c r="C29" s="188"/>
      <c r="D29" s="188"/>
      <c r="E29" s="180"/>
      <c r="F29" s="188"/>
      <c r="G29" s="188"/>
      <c r="H29" s="188"/>
      <c r="I29" s="182"/>
      <c r="J29" s="188"/>
      <c r="K29" s="188"/>
      <c r="L29" s="188"/>
    </row>
    <row r="30" spans="1:12">
      <c r="A30" s="21"/>
      <c r="B30" s="188"/>
      <c r="C30" s="188"/>
      <c r="D30" s="188"/>
      <c r="E30" s="180"/>
      <c r="F30" s="188"/>
      <c r="G30" s="188"/>
      <c r="H30" s="188"/>
      <c r="I30" s="182"/>
      <c r="J30" s="188"/>
      <c r="K30" s="188"/>
      <c r="L30" s="188"/>
    </row>
    <row r="31" spans="1:12">
      <c r="A31" s="21"/>
      <c r="B31" s="188"/>
      <c r="C31" s="188"/>
      <c r="D31" s="188"/>
      <c r="E31" s="180"/>
      <c r="F31" s="188"/>
      <c r="G31" s="188"/>
      <c r="H31" s="188"/>
      <c r="I31" s="182"/>
      <c r="J31" s="188"/>
      <c r="K31" s="188"/>
      <c r="L31" s="188"/>
    </row>
    <row r="32" spans="1:12">
      <c r="A32" s="21"/>
      <c r="B32" s="188"/>
      <c r="C32" s="188"/>
      <c r="D32" s="188"/>
      <c r="E32" s="180"/>
      <c r="F32" s="188"/>
      <c r="G32" s="188"/>
      <c r="H32" s="188"/>
      <c r="I32" s="182"/>
      <c r="J32" s="188"/>
      <c r="K32" s="188"/>
      <c r="L32" s="188"/>
    </row>
    <row r="33" spans="1:12">
      <c r="A33" s="21"/>
      <c r="B33" s="188"/>
      <c r="C33" s="188"/>
      <c r="D33" s="188"/>
      <c r="E33" s="180"/>
      <c r="F33" s="188"/>
      <c r="G33" s="188"/>
      <c r="H33" s="188"/>
      <c r="I33" s="182"/>
      <c r="J33" s="188"/>
      <c r="K33" s="188"/>
      <c r="L33" s="188"/>
    </row>
    <row r="34" spans="1:12">
      <c r="A34" s="21"/>
      <c r="B34" s="188"/>
      <c r="C34" s="188"/>
      <c r="D34" s="188"/>
      <c r="E34" s="180"/>
      <c r="F34" s="188"/>
      <c r="G34" s="188"/>
      <c r="H34" s="188"/>
      <c r="I34" s="203"/>
      <c r="J34" s="188"/>
      <c r="K34" s="188"/>
      <c r="L34" s="188"/>
    </row>
    <row r="35" spans="1:12">
      <c r="A35" s="21"/>
      <c r="B35" s="188"/>
      <c r="C35" s="188"/>
      <c r="D35" s="188"/>
      <c r="E35" s="180"/>
      <c r="F35" s="188"/>
      <c r="G35" s="188"/>
      <c r="H35" s="188"/>
      <c r="I35" s="203"/>
      <c r="J35" s="188"/>
      <c r="K35" s="189"/>
      <c r="L35" s="188"/>
    </row>
    <row r="36" spans="1:12" ht="15.75" thickBot="1">
      <c r="A36" s="21"/>
      <c r="B36" s="188"/>
      <c r="C36" s="188"/>
      <c r="D36" s="188"/>
      <c r="E36" s="180"/>
      <c r="F36" s="188"/>
      <c r="G36" s="188"/>
      <c r="H36" s="188"/>
      <c r="I36" s="203"/>
      <c r="J36" s="204"/>
      <c r="K36" s="21"/>
      <c r="L36" s="21"/>
    </row>
    <row r="37" spans="1:12" ht="15.75" thickBot="1">
      <c r="A37" s="21"/>
      <c r="B37" s="204"/>
      <c r="C37" s="204"/>
      <c r="D37" s="204"/>
      <c r="E37" s="180"/>
      <c r="F37" s="188"/>
      <c r="G37" s="188"/>
      <c r="H37" s="188"/>
      <c r="I37" s="182"/>
      <c r="J37" s="205"/>
      <c r="K37" s="206" t="s">
        <v>100</v>
      </c>
      <c r="L37" s="207"/>
    </row>
    <row r="38" spans="1:12">
      <c r="A38" s="177" t="s">
        <v>92</v>
      </c>
      <c r="B38" s="178"/>
      <c r="C38" s="178"/>
      <c r="D38" s="179"/>
      <c r="E38" s="180"/>
      <c r="F38" s="188"/>
      <c r="G38" s="188"/>
      <c r="H38" s="188"/>
      <c r="I38" s="182"/>
      <c r="J38" s="208" t="s">
        <v>101</v>
      </c>
      <c r="K38" s="209"/>
      <c r="L38" s="210"/>
    </row>
    <row r="39" spans="1:12">
      <c r="A39" s="191" t="s">
        <v>76</v>
      </c>
      <c r="B39" s="192"/>
      <c r="C39" s="192"/>
      <c r="D39" s="193"/>
      <c r="E39" s="180"/>
      <c r="F39" s="188"/>
      <c r="G39" s="188"/>
      <c r="H39" s="188"/>
      <c r="I39" s="182"/>
      <c r="J39" s="211" t="s">
        <v>102</v>
      </c>
      <c r="K39" s="212"/>
      <c r="L39" s="187"/>
    </row>
    <row r="40" spans="1:12">
      <c r="A40" s="191" t="s">
        <v>103</v>
      </c>
      <c r="B40" s="192"/>
      <c r="C40" s="192"/>
      <c r="D40" s="193"/>
      <c r="E40" s="180"/>
      <c r="F40" s="188"/>
      <c r="G40" s="188"/>
      <c r="H40" s="188"/>
      <c r="I40" s="182"/>
      <c r="J40" s="211" t="s">
        <v>104</v>
      </c>
      <c r="K40" s="212"/>
      <c r="L40" s="187"/>
    </row>
    <row r="41" spans="1:12">
      <c r="A41" s="191" t="s">
        <v>105</v>
      </c>
      <c r="B41" s="192"/>
      <c r="C41" s="192"/>
      <c r="D41" s="193"/>
      <c r="E41" s="180"/>
      <c r="F41" s="188"/>
      <c r="G41" s="188"/>
      <c r="H41" s="188"/>
      <c r="I41" s="182"/>
      <c r="J41" s="211" t="s">
        <v>106</v>
      </c>
      <c r="K41" s="212"/>
      <c r="L41" s="187"/>
    </row>
    <row r="42" spans="1:12">
      <c r="A42" s="191" t="s">
        <v>106</v>
      </c>
      <c r="B42" s="192"/>
      <c r="C42" s="192"/>
      <c r="D42" s="193"/>
      <c r="E42" s="180"/>
      <c r="F42" s="188"/>
      <c r="G42" s="188"/>
      <c r="H42" s="188"/>
      <c r="I42" s="182"/>
      <c r="J42" s="211" t="s">
        <v>107</v>
      </c>
      <c r="K42" s="212"/>
      <c r="L42" s="187"/>
    </row>
    <row r="43" spans="1:12">
      <c r="A43" s="191" t="s">
        <v>107</v>
      </c>
      <c r="B43" s="192"/>
      <c r="C43" s="192"/>
      <c r="D43" s="193"/>
      <c r="E43" s="180"/>
      <c r="F43" s="188"/>
      <c r="G43" s="188"/>
      <c r="H43" s="188"/>
      <c r="I43" s="182"/>
      <c r="J43" s="211" t="s">
        <v>108</v>
      </c>
      <c r="K43" s="212"/>
      <c r="L43" s="187"/>
    </row>
    <row r="44" spans="1:12">
      <c r="A44" s="191" t="s">
        <v>108</v>
      </c>
      <c r="B44" s="192"/>
      <c r="C44" s="192"/>
      <c r="D44" s="193"/>
      <c r="E44" s="180"/>
      <c r="F44" s="188"/>
      <c r="G44" s="188"/>
      <c r="H44" s="188"/>
      <c r="I44" s="182"/>
      <c r="J44" s="211" t="s">
        <v>109</v>
      </c>
      <c r="K44" s="212"/>
      <c r="L44" s="187"/>
    </row>
    <row r="45" spans="1:12">
      <c r="A45" s="191" t="s">
        <v>110</v>
      </c>
      <c r="B45" s="192"/>
      <c r="C45" s="192"/>
      <c r="D45" s="193"/>
      <c r="E45" s="180"/>
      <c r="F45" s="188"/>
      <c r="G45" s="188"/>
      <c r="H45" s="188"/>
      <c r="I45" s="182"/>
      <c r="J45" s="211" t="s">
        <v>111</v>
      </c>
      <c r="K45" s="212"/>
      <c r="L45" s="187"/>
    </row>
    <row r="46" spans="1:12" ht="15.75" thickBot="1">
      <c r="A46" s="196" t="s">
        <v>112</v>
      </c>
      <c r="B46" s="197"/>
      <c r="C46" s="197"/>
      <c r="D46" s="198"/>
      <c r="E46" s="180"/>
      <c r="F46" s="188"/>
      <c r="G46" s="188"/>
      <c r="H46" s="188"/>
      <c r="I46" s="182"/>
      <c r="J46" s="213" t="s">
        <v>113</v>
      </c>
      <c r="K46" s="214"/>
      <c r="L46" s="215"/>
    </row>
  </sheetData>
  <pageMargins left="0.25" right="0.25" top="0.75" bottom="0.75" header="0.3" footer="0.3"/>
  <pageSetup orientation="portrait" r:id="rId1"/>
  <headerFooter>
    <oddHeader>&amp;CFIRST Team 1732: Hilltopper Robotics Scouting Sheet</oddHeader>
    <oddFooter>&amp;CAny questions, comments, suggestions or issues, please contact Strategy@Team1732.com</oddFooter>
  </headerFooter>
</worksheet>
</file>

<file path=xl/worksheets/sheet15.xml><?xml version="1.0" encoding="utf-8"?>
<worksheet xmlns="http://schemas.openxmlformats.org/spreadsheetml/2006/main" xmlns:r="http://schemas.openxmlformats.org/officeDocument/2006/relationships">
  <sheetPr codeName="Sheet14">
    <tabColor rgb="FFC00000"/>
  </sheetPr>
  <dimension ref="A1"/>
  <sheetViews>
    <sheetView tabSelected="1" workbookViewId="0">
      <selection activeCell="S28" sqref="S28"/>
    </sheetView>
  </sheetViews>
  <sheetFormatPr defaultRowHeight="1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Input</vt:lpstr>
      <vt:lpstr>Red 1</vt:lpstr>
      <vt:lpstr>Red 2</vt:lpstr>
      <vt:lpstr>Red 3</vt:lpstr>
      <vt:lpstr>Blue 1</vt:lpstr>
      <vt:lpstr>Blue 2</vt:lpstr>
      <vt:lpstr>Blue 3</vt:lpstr>
      <vt:lpstr>Stats</vt:lpstr>
      <vt:lpstr>Team Lookup</vt:lpstr>
      <vt:lpstr>Setup</vt:lpstr>
      <vt:lpstr>Schedule</vt:lpstr>
      <vt:lpstr>Match Strategy</vt:lpstr>
      <vt:lpstr>Strategy</vt:lpstr>
      <vt:lpstr>Scouting Sheet</vt:lpstr>
      <vt:lpstr>Instructions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Chan</dc:creator>
  <cp:lastModifiedBy>chrijoh</cp:lastModifiedBy>
  <cp:lastPrinted>2014-03-11T19:58:43Z</cp:lastPrinted>
  <dcterms:created xsi:type="dcterms:W3CDTF">2009-12-25T21:37:17Z</dcterms:created>
  <dcterms:modified xsi:type="dcterms:W3CDTF">2014-03-11T20:03:14Z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oogle.Documents.Tracking">
    <vt:lpwstr>true</vt:lpwstr>
  </property>
  <property fmtid="{D5CDD505-2E9C-101B-9397-08002B2CF9AE}" pid="3" name="Google.Documents.DocumentId">
    <vt:lpwstr>1nB77QElYl-4zSw6PMxKB3P3i8lcOidhkQV5UFmzJ0No</vt:lpwstr>
  </property>
  <property fmtid="{D5CDD505-2E9C-101B-9397-08002B2CF9AE}" pid="4" name="Google.Documents.RevisionId">
    <vt:lpwstr>14198597173011300524</vt:lpwstr>
  </property>
  <property fmtid="{D5CDD505-2E9C-101B-9397-08002B2CF9AE}" pid="5" name="Google.Documents.PluginVersion">
    <vt:lpwstr>2.0.2662.553</vt:lpwstr>
  </property>
  <property fmtid="{D5CDD505-2E9C-101B-9397-08002B2CF9AE}" pid="6" name="Google.Documents.MergeIncapabilityFlags">
    <vt:i4>0</vt:i4>
  </property>
</Properties>
</file>